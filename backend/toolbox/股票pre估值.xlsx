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download\"/>
    </mc:Choice>
  </mc:AlternateContent>
  <bookViews>
    <workbookView xWindow="4530" yWindow="0" windowWidth="18510" windowHeight="12336"/>
  </bookViews>
  <sheets>
    <sheet name="股票pre估值" sheetId="1" r:id="rId1"/>
  </shee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 l="true"/>
  <c r="F4" i="1"/>
  <c r="F3" i="1"/>
  <c r="F2" i="1"/>
  <c r="H5" i="1" l="true"/>
  <c r="L5" i="1"/>
  <c r="J5" i="1"/>
  <c r="H4" i="1"/>
  <c r="L4" i="1"/>
  <c r="J4" i="1"/>
  <c r="H3" i="1"/>
  <c r="L3" i="1"/>
  <c r="J3" i="1"/>
  <c r="H2" i="1"/>
  <c r="L2" i="1"/>
  <c r="J2" i="1"/>
</calcChain>
</file>

<file path=xl/sharedStrings.xml><?xml version="1.0" encoding="utf-8"?>
<sst xmlns="http://schemas.openxmlformats.org/spreadsheetml/2006/main" count="52" uniqueCount="52">
  <si>
    <t>个股</t>
  </si>
  <si>
    <t>股价</t>
  </si>
  <si>
    <t>更新日期</t>
  </si>
  <si>
    <t>代码</t>
    <phoneticPr fontId="3" type="noConversion"/>
  </si>
  <si>
    <t>三星电子</t>
    <phoneticPr fontId="3" type="noConversion"/>
  </si>
  <si>
    <t>海力士</t>
    <phoneticPr fontId="3" type="noConversion"/>
  </si>
  <si>
    <t>美光</t>
    <phoneticPr fontId="3" type="noConversion"/>
  </si>
  <si>
    <t>海力士ADR</t>
    <phoneticPr fontId="3" type="noConversion"/>
  </si>
  <si>
    <t>MU</t>
    <phoneticPr fontId="3" type="noConversion"/>
  </si>
  <si>
    <t>总股本(亿)</t>
    <phoneticPr fontId="3" type="noConversion"/>
  </si>
  <si>
    <t>总市值(亿)</t>
    <phoneticPr fontId="3" type="noConversion"/>
  </si>
  <si>
    <t>韩元/美元</t>
    <phoneticPr fontId="3" type="noConversion"/>
  </si>
  <si>
    <t>26年净利润(亿)</t>
    <phoneticPr fontId="3" type="noConversion"/>
  </si>
  <si>
    <t>26年PE</t>
    <phoneticPr fontId="3" type="noConversion"/>
  </si>
  <si>
    <t>分类</t>
    <phoneticPr fontId="3" type="noConversion"/>
  </si>
  <si>
    <t>27年净利润(亿)</t>
    <phoneticPr fontId="3" type="noConversion"/>
  </si>
  <si>
    <t>27年PE</t>
    <phoneticPr fontId="3" type="noConversion"/>
  </si>
  <si>
    <t>28年净利润(亿)</t>
    <phoneticPr fontId="3" type="noConversion"/>
  </si>
  <si>
    <t>28年PE</t>
    <phoneticPr fontId="3" type="noConversion"/>
  </si>
  <si>
    <t>内存</t>
    <phoneticPr fontId="3" type="noConversion"/>
  </si>
  <si>
    <t>SKHY</t>
    <phoneticPr fontId="3" type="noConversion"/>
  </si>
  <si>
    <t>142.72</t>
  </si>
  <si>
    <t>829.5</t>
  </si>
  <si>
    <t>20260804</t>
  </si>
  <si>
    <t>154.38</t>
  </si>
  <si>
    <t>892.67</t>
  </si>
  <si>
    <t>20260805</t>
  </si>
  <si>
    <t>151.03</t>
  </si>
  <si>
    <t>893.19</t>
  </si>
  <si>
    <t>20260806</t>
  </si>
  <si>
    <t>143.53</t>
  </si>
  <si>
    <t>881.47</t>
  </si>
  <si>
    <t>20260807</t>
  </si>
  <si>
    <t>137.91</t>
  </si>
  <si>
    <t>877.57</t>
  </si>
  <si>
    <t>20260808</t>
  </si>
  <si>
    <t>20260810</t>
  </si>
  <si>
    <t>135.29</t>
  </si>
  <si>
    <t>861.0</t>
  </si>
  <si>
    <t>20260811</t>
  </si>
  <si>
    <t>141.65</t>
  </si>
  <si>
    <t>868.52</t>
  </si>
  <si>
    <t>20260812</t>
  </si>
  <si>
    <t>154.41</t>
  </si>
  <si>
    <t>911.29</t>
  </si>
  <si>
    <t>20260813</t>
  </si>
  <si>
    <t>165.67</t>
  </si>
  <si>
    <t>949.83</t>
  </si>
  <si>
    <t>20260814</t>
  </si>
  <si>
    <t>166.33</t>
  </si>
  <si>
    <t>971.66</t>
  </si>
  <si>
    <t>20260815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</si>
</sst>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 "/>
    <numFmt numFmtId="177" formatCode="0.00_);[Red]\(0.00\)"/>
  </numFmts>
  <fonts count="7">
    <font>
      <name val="等线"/>
      <charset val="134"/>
      <family val="2"/>
      <color theme="1"/>
      <sz val="10"/>
      <scheme val="minor"/>
    </font>
    <font>
      <name val="等线"/>
      <b val="1"/>
      <sz val="10"/>
    </font>
    <font>
      <name val="等线"/>
      <sz val="10"/>
    </font>
    <font>
      <name val="等线"/>
      <charset val="134"/>
      <family val="2"/>
      <sz val="9"/>
      <scheme val="minor"/>
    </font>
    <font>
      <name val="等线"/>
      <charset val="134"/>
      <family val="3"/>
      <b val="1"/>
      <sz val="10"/>
    </font>
    <font>
      <name val="等线"/>
      <charset val="134"/>
      <family val="3"/>
      <b val="1"/>
      <color theme="1"/>
      <sz val="10"/>
      <scheme val="minor"/>
    </font>
    <font>
      <name val="等线"/>
      <charset val="134"/>
      <family val="2"/>
      <color rgb="FFFF0000"/>
      <sz val="10"/>
      <scheme val="minor"/>
    </font>
  </fonts>
  <fills count="3">
    <fill>
      <patternFill patternType="none"/>
    </fill>
    <fill>
      <patternFill patternType="gray125"/>
    </fill>
    <fill>
      <patternFill patternType="solid">
        <fgColor rgb="FF8CDDFA"/>
        <bgColor auto="true"/>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1" fillId="2" borderId="0" xfId="0" applyFont="true" applyFill="true" applyAlignment="true">
      <alignment horizontal="center" vertical="center"/>
    </xf>
    <xf numFmtId="176" fontId="2" fillId="0" borderId="0" xfId="0" applyNumberFormat="true" applyFont="true" applyAlignment="true">
      <alignment horizontal="right" vertical="center"/>
    </xf>
    <xf numFmtId="176" fontId="0" fillId="0" borderId="0" xfId="0" applyNumberFormat="true">
      <alignment vertical="center"/>
    </xf>
    <xf numFmtId="0" fontId="4" fillId="2" borderId="0" xfId="0" applyFont="true" applyFill="true" applyAlignment="true">
      <alignment horizontal="center" vertical="center"/>
    </xf>
    <xf numFmtId="49" fontId="4" fillId="2" borderId="0" xfId="0" applyNumberFormat="true" applyFont="true" applyFill="true" applyAlignment="true">
      <alignment horizontal="center" vertical="center"/>
    </xf>
    <xf numFmtId="49" fontId="0" fillId="0" borderId="0" xfId="0" applyNumberFormat="true">
      <alignment vertical="center"/>
    </xf>
    <xf numFmtId="176" fontId="4" fillId="2" borderId="0" xfId="0" applyNumberFormat="true" applyFont="true" applyFill="true" applyAlignment="true">
      <alignment horizontal="center" vertical="center"/>
    </xf>
    <xf numFmtId="0" fontId="4" fillId="0" borderId="0" xfId="0" applyFont="true">
      <alignment vertical="center"/>
    </xf>
    <xf numFmtId="0" fontId="0" fillId="0" borderId="0" xfId="0" applyAlignment="true">
      <alignment horizontal="left" vertical="top"/>
    </xf>
    <xf numFmtId="49" fontId="5" fillId="0" borderId="0" xfId="0" applyNumberFormat="true" applyFont="true">
      <alignment vertical="center"/>
    </xf>
    <xf numFmtId="177" fontId="4" fillId="2" borderId="0" xfId="0" applyNumberFormat="true" applyFont="true" applyFill="true" applyAlignment="true">
      <alignment horizontal="center" vertical="center"/>
    </xf>
    <xf numFmtId="177" fontId="0" fillId="0" borderId="0" xfId="0" applyNumberFormat="true">
      <alignment vertical="center"/>
    </xf>
    <xf numFmtId="177" fontId="6" fillId="0" borderId="0" xfId="0" applyNumberFormat="true" applyFont="true">
      <alignment vertical="center"/>
    </xf>
    <xf numFmtId="0" fontId="5" fillId="0" borderId="0" xfId="0" applyFont="true" applyAlignment="true">
      <alignment horizontal="center"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持仓比例"/>
  <dimension ref="A1:L9"/>
  <sheetViews>
    <sheetView tabSelected="true" workbookViewId="0">
      <selection activeCell="D4" sqref="D4"/>
    </sheetView>
  </sheetViews>
  <sheetFormatPr defaultColWidth="13.64453125" defaultRowHeight="18" customHeight="true"/>
  <cols>
    <col bestFit="true" customWidth="true" max="1" min="1" width="9.64453125"/>
    <col bestFit="true" customWidth="true" max="2" min="2" width="10.64453125"/>
    <col bestFit="true" customWidth="true" max="3" min="3" style="6" width="7.05859375"/>
    <col bestFit="true" customWidth="true" max="4" min="4" width="8.05859375"/>
    <col bestFit="true" customWidth="true" max="6" min="5" width="10.1171875"/>
    <col bestFit="true" customWidth="true" max="7" min="7" width="14.41015625"/>
    <col bestFit="true" customWidth="true" max="8" min="8" style="12" width="7.234375"/>
    <col bestFit="true" customWidth="true" max="9" min="9" width="14.41015625"/>
    <col bestFit="true" customWidth="true" max="10" min="10" width="7.234375"/>
    <col bestFit="true" customWidth="true" max="11" min="11" width="14.41015625"/>
    <col bestFit="true" customWidth="true" max="12" min="12" width="7.234375"/>
  </cols>
  <sheetData>
    <row r="1" spans="1:12" ht="18" customHeight="true">
      <c r="A1" s="4" t="s">
        <v>14</v>
      </c>
      <c r="B1" s="1" t="s">
        <v>0</v>
      </c>
      <c r="C1" s="5" t="s">
        <v>3</v>
      </c>
      <c r="D1" s="1" t="s">
        <v>1</v>
      </c>
      <c r="E1" s="4" t="s">
        <v>9</v>
      </c>
      <c r="F1" s="7" t="s">
        <v>10</v>
      </c>
      <c r="G1" s="7" t="s">
        <v>12</v>
      </c>
      <c r="H1" s="11" t="s">
        <v>13</v>
      </c>
      <c r="I1" s="7" t="s">
        <v>15</v>
      </c>
      <c r="J1" s="11" t="s">
        <v>16</v>
      </c>
      <c r="K1" s="7" t="s">
        <v>17</v>
      </c>
      <c r="L1" s="11" t="s">
        <v>18</v>
      </c>
    </row>
    <row r="2" spans="1:12" ht="18" customHeight="true">
      <c r="A2" s="14" t="s">
        <v>19</v>
      </c>
      <c r="B2" t="s">
        <v>4</v>
      </c>
      <c r="D2">
        <v>240000</v>
      </c>
      <c r="E2">
        <v>65.67</v>
      </c>
      <c r="F2" s="2">
        <f>D2/B7*E2</f>
      </c>
      <c r="G2">
        <v>1824</v>
      </c>
      <c r="H2" s="13">
        <f>F2/G2</f>
      </c>
      <c r="I2">
        <v>2589</v>
      </c>
      <c r="J2" s="12">
        <f>F2/I2</f>
      </c>
      <c r="K2">
        <v>2708</v>
      </c>
      <c r="L2" s="12">
        <f>F2/K2</f>
      </c>
    </row>
    <row r="3" spans="1:12" ht="18" customHeight="true">
      <c r="A3" s="14"/>
      <c r="B3" t="s">
        <v>5</v>
      </c>
      <c r="D3">
        <v>1577000</v>
      </c>
      <c r="E3">
        <v>7.1</v>
      </c>
      <c r="F3" s="2">
        <f>D3/B7*E3</f>
      </c>
      <c r="G3">
        <v>1410</v>
      </c>
      <c r="H3" s="13">
        <f t="shared" ref="H3:H5" si="0">F3/G3</f>
      </c>
      <c r="I3">
        <v>2058</v>
      </c>
      <c r="J3" s="12">
        <f t="shared" ref="J3:J5" si="1">F3/I3</f>
      </c>
      <c r="K3">
        <v>2241</v>
      </c>
      <c r="L3" s="12">
        <f t="shared" ref="L3:L5" si="2">F3/K3</f>
      </c>
    </row>
    <row r="4" spans="1:12" ht="18" customHeight="true">
      <c r="A4" s="14"/>
      <c r="B4" t="s">
        <v>7</v>
      </c>
      <c r="C4" s="6" t="s">
        <v>20</v>
      </c>
      <c r="D4" t="s">
        <v>49</v>
      </c>
      <c r="E4">
        <v>72.89</v>
      </c>
      <c r="F4" s="2">
        <f>D4*E4</f>
      </c>
      <c r="G4">
        <v>1410</v>
      </c>
      <c r="H4" s="13">
        <f t="shared" si="0"/>
      </c>
      <c r="I4">
        <v>2058</v>
      </c>
      <c r="J4" s="12">
        <f t="shared" si="1"/>
      </c>
      <c r="K4">
        <v>2241</v>
      </c>
      <c r="L4" s="12">
        <f t="shared" si="2"/>
      </c>
    </row>
    <row r="5" spans="1:12" ht="18" customHeight="true">
      <c r="A5" s="14"/>
      <c r="B5" t="s">
        <v>6</v>
      </c>
      <c r="C5" s="6" t="s">
        <v>8</v>
      </c>
      <c r="D5" t="s">
        <v>50</v>
      </c>
      <c r="E5">
        <v>11.29</v>
      </c>
      <c r="F5" s="2">
        <f>D5*E5</f>
      </c>
      <c r="G5">
        <v>1281</v>
      </c>
      <c r="H5" s="13">
        <f t="shared" si="0"/>
      </c>
      <c r="I5">
        <v>1927</v>
      </c>
      <c r="J5" s="12">
        <f t="shared" si="1"/>
      </c>
      <c r="K5">
        <v>2069</v>
      </c>
      <c r="L5" s="12">
        <f t="shared" si="2"/>
      </c>
    </row>
    <row r="6" spans="1:12" ht="18" customHeight="true">
      <c r="F6" s="2"/>
    </row>
    <row r="7" spans="1:12" ht="12.6">
      <c r="A7" s="10" t="s">
        <v>11</v>
      </c>
      <c r="B7" s="9">
        <v>1499</v>
      </c>
      <c r="F7" s="3"/>
    </row>
    <row r="8" spans="1:12" ht="12.6">
      <c r="F8" s="3"/>
    </row>
    <row r="9" spans="1:12" ht="12.6">
      <c r="A9" s="8" t="s">
        <v>2</v>
      </c>
      <c r="B9" t="s">
        <v>51</v>
      </c>
      <c r="F9" s="3"/>
    </row>
  </sheetData>
  <mergeCells count="1">
    <mergeCell ref="A2:A5"/>
  </mergeCells>
  <phoneticPr fontId="3" type="noConversion"/>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股票pre估值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2026-05-20T23:25:25Z</dcterms:created>
  <dcterms:modified xsi:type="dcterms:W3CDTF">2026-08-04T08:18:21Z</dcterms:modified>
</cp:coreProperties>
</file>