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download\"/>
    </mc:Choice>
  </mc:AlternateContent>
  <bookViews>
    <workbookView xWindow="4056" yWindow="0" windowWidth="18984" windowHeight="12336"/>
  </bookViews>
  <sheets>
    <sheet name="持仓比例" sheetId="1" r:id="rId1"/>
  </sheet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 i="1" l="true"/>
  <c r="G42" i="1"/>
  <c r="G15" i="1"/>
  <c r="G38" i="1"/>
  <c r="G40" i="1"/>
  <c r="G39" i="1"/>
  <c r="G36" i="1"/>
  <c r="G35" i="1"/>
  <c r="G10" i="1"/>
  <c r="G7" i="1"/>
  <c r="G22" i="1"/>
  <c r="G9" i="1"/>
  <c r="G25" i="1"/>
  <c r="G24" i="1"/>
  <c r="H24" i="1" s="true"/>
  <c r="G23" i="1"/>
  <c r="G20" i="1"/>
  <c r="G19" i="1"/>
  <c r="G21" i="1"/>
  <c r="G18" i="1"/>
  <c r="G17" i="1"/>
  <c r="G14" i="1"/>
  <c r="G11" i="1"/>
  <c r="G16" i="1"/>
  <c r="G12" i="1"/>
  <c r="G13" i="1"/>
  <c r="G8" i="1"/>
  <c r="G6" i="1"/>
  <c r="G5" i="1"/>
  <c r="G4" i="1"/>
  <c r="G3" i="1"/>
  <c r="G2" i="1"/>
  <c r="G41" i="1" l="true"/>
  <c r="H42" i="1" s="true"/>
  <c r="G37" i="1"/>
  <c r="H38" i="1" s="true"/>
  <c r="H5" i="1"/>
  <c r="H17" i="1"/>
  <c r="G30" i="1"/>
  <c r="H11" i="1"/>
  <c r="G29" i="1"/>
  <c r="K15" i="1" s="true"/>
  <c r="H8" i="1"/>
  <c r="G28" i="1"/>
  <c r="G27" i="1"/>
  <c r="H2" i="1"/>
  <c r="H25" i="1"/>
  <c r="H23" i="1"/>
  <c r="O4" i="1" l="true"/>
  <c r="O2" i="1"/>
  <c r="O16" i="1"/>
  <c r="O18" i="1"/>
  <c r="I15" i="1"/>
  <c r="O14" i="1"/>
  <c r="O8" i="1"/>
  <c r="N4" i="1"/>
  <c r="N12" i="1"/>
  <c r="J10" i="1"/>
  <c r="N8" i="1"/>
  <c r="O12" i="1"/>
  <c r="N6" i="1"/>
  <c r="O6" i="1"/>
  <c r="I10" i="1"/>
  <c r="O10" i="1"/>
  <c r="J7" i="1"/>
  <c r="I22" i="1"/>
  <c r="I7" i="1"/>
  <c r="L22" i="1"/>
  <c r="M17" i="1"/>
  <c r="J9" i="1"/>
  <c r="M11" i="1"/>
  <c r="L4" i="1"/>
  <c r="L18" i="1"/>
  <c r="I9" i="1"/>
  <c r="N14" i="1"/>
  <c r="J8" i="1"/>
  <c r="J6" i="1"/>
  <c r="J5" i="1"/>
  <c r="K11" i="1"/>
  <c r="K14" i="1"/>
  <c r="K16" i="1"/>
  <c r="K12" i="1"/>
  <c r="K13" i="1"/>
  <c r="K3" i="1"/>
  <c r="K2" i="1"/>
  <c r="M23" i="1"/>
  <c r="M25" i="1"/>
  <c r="I20" i="1"/>
  <c r="I21" i="1"/>
  <c r="I18" i="1"/>
  <c r="I14" i="1"/>
  <c r="I16" i="1"/>
  <c r="I12" i="1"/>
  <c r="I17" i="1"/>
  <c r="I13" i="1"/>
  <c r="I4" i="1"/>
  <c r="I2" i="1"/>
  <c r="I5" i="1"/>
  <c r="I3" i="1"/>
  <c r="I19" i="1"/>
  <c r="M24" i="1"/>
  <c r="I25" i="1"/>
  <c r="I26" i="1"/>
  <c r="M2" i="1"/>
  <c r="M5" i="1"/>
  <c r="M8" i="1"/>
  <c r="N2" i="1"/>
  <c r="I11" i="1"/>
  <c r="I23" i="1"/>
  <c r="N10" i="1"/>
  <c r="I24" i="1"/>
  <c r="I8" i="1"/>
  <c r="I6" i="1"/>
  <c r="L24" i="1"/>
  <c r="L21" i="1"/>
  <c r="L19" i="1"/>
  <c r="L23" i="1"/>
  <c r="L20" i="1"/>
  <c r="L17" i="1"/>
  <c r="J27" i="1" l="true"/>
  <c r="K27" i="1"/>
  <c r="I27" i="1"/>
  <c r="M27" i="1"/>
  <c r="L27" i="1"/>
</calcChain>
</file>

<file path=xl/sharedStrings.xml><?xml version="1.0" encoding="utf-8"?>
<sst xmlns="http://schemas.openxmlformats.org/spreadsheetml/2006/main" count="151" uniqueCount="151">
  <si>
    <t>类型</t>
  </si>
  <si>
    <t>子类型</t>
  </si>
  <si>
    <t>个股</t>
  </si>
  <si>
    <t>股价</t>
  </si>
  <si>
    <t>比例</t>
  </si>
  <si>
    <t>A股比例</t>
  </si>
  <si>
    <t>港股比例</t>
  </si>
  <si>
    <t>美股比例</t>
  </si>
  <si>
    <t>类型比例</t>
  </si>
  <si>
    <t>互联网</t>
  </si>
  <si>
    <t>腾讯控股</t>
  </si>
  <si>
    <t>阿里巴巴</t>
  </si>
  <si>
    <t>拼多多</t>
  </si>
  <si>
    <t>大宗</t>
  </si>
  <si>
    <t>中国神华</t>
  </si>
  <si>
    <t>紫金矿业</t>
  </si>
  <si>
    <t>制造</t>
  </si>
  <si>
    <t>比亚迪</t>
  </si>
  <si>
    <t>微创医疗</t>
  </si>
  <si>
    <t>奈雪的茶</t>
  </si>
  <si>
    <t>黑芝麻智能</t>
  </si>
  <si>
    <t>东方甄选</t>
  </si>
  <si>
    <t>药明生物</t>
  </si>
  <si>
    <t>美股</t>
  </si>
  <si>
    <t>数字货币</t>
  </si>
  <si>
    <t>纳指100ETF</t>
  </si>
  <si>
    <t>现金</t>
  </si>
  <si>
    <t>人民币</t>
  </si>
  <si>
    <t>美元</t>
  </si>
  <si>
    <t>合计</t>
  </si>
  <si>
    <t>A股合计</t>
  </si>
  <si>
    <t>港股合计</t>
  </si>
  <si>
    <t>美股合计</t>
  </si>
  <si>
    <t>汇率</t>
  </si>
  <si>
    <t>港币</t>
  </si>
  <si>
    <t>更新日期</t>
  </si>
  <si>
    <t>港股科技</t>
  </si>
  <si>
    <t>美股科技</t>
  </si>
  <si>
    <t>消费</t>
  </si>
  <si>
    <t>医药</t>
  </si>
  <si>
    <t>持仓</t>
    <phoneticPr fontId="4" type="noConversion"/>
  </si>
  <si>
    <t>代码</t>
    <phoneticPr fontId="4" type="noConversion"/>
  </si>
  <si>
    <t>00700</t>
    <phoneticPr fontId="4" type="noConversion"/>
  </si>
  <si>
    <t>09988</t>
    <phoneticPr fontId="4" type="noConversion"/>
  </si>
  <si>
    <t>PDD</t>
    <phoneticPr fontId="4" type="noConversion"/>
  </si>
  <si>
    <t>SH601088</t>
    <phoneticPr fontId="4" type="noConversion"/>
  </si>
  <si>
    <t>SH601899</t>
    <phoneticPr fontId="4" type="noConversion"/>
  </si>
  <si>
    <t>SZ002594</t>
    <phoneticPr fontId="4" type="noConversion"/>
  </si>
  <si>
    <t>00853</t>
    <phoneticPr fontId="4" type="noConversion"/>
  </si>
  <si>
    <t>02150</t>
    <phoneticPr fontId="4" type="noConversion"/>
  </si>
  <si>
    <t>02533</t>
    <phoneticPr fontId="4" type="noConversion"/>
  </si>
  <si>
    <t>01797</t>
    <phoneticPr fontId="4" type="noConversion"/>
  </si>
  <si>
    <t>02269</t>
    <phoneticPr fontId="4" type="noConversion"/>
  </si>
  <si>
    <t>META</t>
    <phoneticPr fontId="4" type="noConversion"/>
  </si>
  <si>
    <t>GOOG</t>
    <phoneticPr fontId="4" type="noConversion"/>
  </si>
  <si>
    <t>INTC</t>
    <phoneticPr fontId="4" type="noConversion"/>
  </si>
  <si>
    <t>MSFT</t>
    <phoneticPr fontId="4" type="noConversion"/>
  </si>
  <si>
    <t>TSLA</t>
    <phoneticPr fontId="4" type="noConversion"/>
  </si>
  <si>
    <t>COIN</t>
    <phoneticPr fontId="4" type="noConversion"/>
  </si>
  <si>
    <t>SH513390</t>
    <phoneticPr fontId="4" type="noConversion"/>
  </si>
  <si>
    <t>Meta</t>
    <phoneticPr fontId="4" type="noConversion"/>
  </si>
  <si>
    <t>谷歌</t>
    <phoneticPr fontId="4" type="noConversion"/>
  </si>
  <si>
    <t>英特尔</t>
    <phoneticPr fontId="4" type="noConversion"/>
  </si>
  <si>
    <t>微软</t>
    <phoneticPr fontId="4" type="noConversion"/>
  </si>
  <si>
    <t>特斯拉</t>
    <phoneticPr fontId="4" type="noConversion"/>
  </si>
  <si>
    <t>Coinbase</t>
    <phoneticPr fontId="4" type="noConversion"/>
  </si>
  <si>
    <t>类型金额</t>
    <phoneticPr fontId="4" type="noConversion"/>
  </si>
  <si>
    <t>金额</t>
    <phoneticPr fontId="4" type="noConversion"/>
  </si>
  <si>
    <t>比亚迪H</t>
    <phoneticPr fontId="4" type="noConversion"/>
  </si>
  <si>
    <t>01211</t>
    <phoneticPr fontId="4" type="noConversion"/>
  </si>
  <si>
    <t>消费</t>
    <phoneticPr fontId="4" type="noConversion"/>
  </si>
  <si>
    <t>医药</t>
    <phoneticPr fontId="4" type="noConversion"/>
  </si>
  <si>
    <t>科技</t>
    <phoneticPr fontId="4" type="noConversion"/>
  </si>
  <si>
    <t>指数</t>
    <phoneticPr fontId="4" type="noConversion"/>
  </si>
  <si>
    <t>美股</t>
    <phoneticPr fontId="4" type="noConversion"/>
  </si>
  <si>
    <t>AI</t>
    <phoneticPr fontId="4" type="noConversion"/>
  </si>
  <si>
    <t>AI相关</t>
    <phoneticPr fontId="4" type="noConversion"/>
  </si>
  <si>
    <t>美光</t>
    <phoneticPr fontId="4" type="noConversion"/>
  </si>
  <si>
    <t>MU</t>
    <phoneticPr fontId="4" type="noConversion"/>
  </si>
  <si>
    <t>盐湖股份</t>
    <phoneticPr fontId="4" type="noConversion"/>
  </si>
  <si>
    <t>SZ000792</t>
    <phoneticPr fontId="4" type="noConversion"/>
  </si>
  <si>
    <t>通缩受损</t>
    <phoneticPr fontId="4" type="noConversion"/>
  </si>
  <si>
    <t>新能源相关</t>
    <phoneticPr fontId="4" type="noConversion"/>
  </si>
  <si>
    <t>宁德时代</t>
    <phoneticPr fontId="4" type="noConversion"/>
  </si>
  <si>
    <t>SZ300750</t>
    <phoneticPr fontId="4" type="noConversion"/>
  </si>
  <si>
    <t>AI中游云厂</t>
    <phoneticPr fontId="4" type="noConversion"/>
  </si>
  <si>
    <t>AI上游硬件</t>
    <phoneticPr fontId="4" type="noConversion"/>
  </si>
  <si>
    <t>重仓</t>
    <phoneticPr fontId="4" type="noConversion"/>
  </si>
  <si>
    <t>腾讯初始买入价</t>
    <phoneticPr fontId="4" type="noConversion"/>
  </si>
  <si>
    <t>宁德初始买入价</t>
    <phoneticPr fontId="4" type="noConversion"/>
  </si>
  <si>
    <t>阿里-腾讯平均买入差价</t>
    <phoneticPr fontId="4" type="noConversion"/>
  </si>
  <si>
    <t>阿里-腾讯实时差价</t>
    <phoneticPr fontId="4" type="noConversion"/>
  </si>
  <si>
    <t>宁德-腾讯实时差价</t>
    <phoneticPr fontId="4" type="noConversion"/>
  </si>
  <si>
    <t>宁德-腾讯平均买入差价</t>
    <phoneticPr fontId="4" type="noConversion"/>
  </si>
  <si>
    <t>腾讯52周最高价</t>
    <phoneticPr fontId="4" type="noConversion"/>
  </si>
  <si>
    <t>阿里52周最高价</t>
    <phoneticPr fontId="4" type="noConversion"/>
  </si>
  <si>
    <t>腾讯切阿里超额</t>
    <phoneticPr fontId="4" type="noConversion"/>
  </si>
  <si>
    <t>腾讯切宁德超额</t>
    <phoneticPr fontId="4" type="noConversion"/>
  </si>
  <si>
    <t>潜在50%涨幅</t>
    <phoneticPr fontId="4" type="noConversion"/>
  </si>
  <si>
    <t>A股</t>
    <phoneticPr fontId="4" type="noConversion"/>
  </si>
  <si>
    <t>00981</t>
    <phoneticPr fontId="4" type="noConversion"/>
  </si>
  <si>
    <t>中芯国际</t>
    <phoneticPr fontId="4" type="noConversion"/>
  </si>
  <si>
    <t>6.075</t>
  </si>
  <si>
    <t>4%+回报</t>
    <phoneticPr fontId="4" type="noConversion"/>
  </si>
  <si>
    <t>国产替代</t>
    <phoneticPr fontId="4" type="noConversion"/>
  </si>
  <si>
    <t>超额</t>
    <phoneticPr fontId="4" type="noConversion"/>
  </si>
  <si>
    <t>51.21</t>
  </si>
  <si>
    <t>82.76</t>
  </si>
  <si>
    <t>0.685</t>
  </si>
  <si>
    <t>49.84</t>
  </si>
  <si>
    <t>705.44</t>
  </si>
  <si>
    <t>533.52</t>
  </si>
  <si>
    <t>374.8</t>
  </si>
  <si>
    <t>98.0</t>
  </si>
  <si>
    <t>79.17</t>
  </si>
  <si>
    <t>49.5</t>
  </si>
  <si>
    <t>27.78</t>
  </si>
  <si>
    <t>21.4</t>
  </si>
  <si>
    <t>79.86</t>
  </si>
  <si>
    <t>67.1</t>
  </si>
  <si>
    <t>220.0</t>
  </si>
  <si>
    <t>28.0</t>
  </si>
  <si>
    <t>0.69</t>
  </si>
  <si>
    <t>44.8</t>
  </si>
  <si>
    <t>45.8</t>
  </si>
  <si>
    <t>7.745</t>
  </si>
  <si>
    <t>648.85</t>
  </si>
  <si>
    <t>320.76</t>
  </si>
  <si>
    <t>521.08</t>
  </si>
  <si>
    <t>374.58</t>
  </si>
  <si>
    <t>85.49</t>
  </si>
  <si>
    <t>856.49</t>
  </si>
  <si>
    <t>169.09</t>
  </si>
  <si>
    <t>2.408</t>
  </si>
  <si>
    <t>20261023</t>
  </si>
  <si>
    <t>381.8</t>
  </si>
  <si>
    <t>98.5</t>
  </si>
  <si>
    <t>50.68</t>
  </si>
  <si>
    <t>27.3</t>
  </si>
  <si>
    <t>21.38</t>
  </si>
  <si>
    <t>79.79</t>
  </si>
  <si>
    <t>67.4</t>
  </si>
  <si>
    <t>216.16</t>
  </si>
  <si>
    <t>27.98</t>
  </si>
  <si>
    <t>44.88</t>
  </si>
  <si>
    <t>2.4</t>
  </si>
  <si>
    <t>49.07</t>
  </si>
  <si>
    <t>26.99</t>
  </si>
  <si>
    <t>21.42</t>
  </si>
  <si>
    <t>79.5</t>
  </si>
  <si>
    <t>2.398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</si>
</sst>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 "/>
    <numFmt numFmtId="177" formatCode="0.0%"/>
  </numFmts>
  <fonts count="14">
    <font>
      <name val="等线"/>
      <charset val="134"/>
      <family val="2"/>
      <color theme="1"/>
      <sz val="10"/>
      <scheme val="minor"/>
    </font>
    <font>
      <name val="等线"/>
      <charset val="134"/>
      <family val="3"/>
      <b val="1"/>
      <sz val="10"/>
    </font>
    <font>
      <name val="等线"/>
      <charset val="134"/>
      <family val="3"/>
      <sz val="10"/>
    </font>
    <font>
      <name val="等线"/>
      <charset val="134"/>
      <family val="3"/>
      <sz val="10"/>
    </font>
    <font>
      <name val="等线"/>
      <charset val="134"/>
      <family val="2"/>
      <sz val="9"/>
      <scheme val="minor"/>
    </font>
    <font>
      <name val="等线"/>
      <charset val="134"/>
      <family val="3"/>
      <b val="1"/>
      <sz val="10"/>
    </font>
    <font>
      <name val="等线"/>
      <charset val="134"/>
      <family val="3"/>
      <b val="1"/>
      <color theme="1"/>
      <sz val="10"/>
      <scheme val="minor"/>
    </font>
    <font>
      <name val="等线"/>
      <charset val="134"/>
      <family val="3"/>
      <color theme="1"/>
      <sz val="10"/>
      <scheme val="minor"/>
    </font>
    <font>
      <name val="等线"/>
      <charset val="134"/>
      <family val="3"/>
      <color theme="1"/>
      <sz val="10"/>
    </font>
    <font>
      <name val="等线"/>
      <charset val="134"/>
      <family val="3"/>
      <sz val="10"/>
    </font>
    <font>
      <name val="等线"/>
      <charset val="134"/>
      <family val="3"/>
      <color theme="0" tint="-0.3499862666707358"/>
      <sz val="10"/>
      <scheme val="minor"/>
    </font>
    <font>
      <name val="等线"/>
      <charset val="134"/>
      <family val="3"/>
      <color theme="0" tint="-0.3499862666707358"/>
      <sz val="10"/>
    </font>
    <font>
      <name val="等线"/>
      <charset val="134"/>
      <family val="2"/>
      <color rgb="FFFF0000"/>
      <sz val="10"/>
      <scheme val="minor"/>
    </font>
    <font>
      <name val="等线"/>
      <charset val="134"/>
      <family val="3"/>
      <sz val="10"/>
      <scheme val="minor"/>
    </font>
  </fonts>
  <fills count="12">
    <fill>
      <patternFill patternType="none"/>
    </fill>
    <fill>
      <patternFill patternType="gray125"/>
    </fill>
    <fill>
      <patternFill patternType="solid">
        <fgColor rgb="FF8CDDFA"/>
        <bgColor auto="true"/>
      </patternFill>
    </fill>
    <fill>
      <patternFill patternType="solid">
        <fgColor rgb="FFFFC000"/>
        <bgColor auto="true"/>
      </patternFill>
    </fill>
    <fill>
      <patternFill patternType="solid">
        <fgColor rgb="FFBFBFBF"/>
      </patternFill>
    </fill>
    <fill>
      <patternFill patternType="solid">
        <fgColor rgb="FF00B050"/>
        <bgColor auto="true"/>
      </patternFill>
    </fill>
    <fill>
      <patternFill patternType="none">
        <fgColor auto="true"/>
        <bgColor auto="true"/>
      </patternFill>
    </fill>
    <fill>
      <patternFill patternType="solid">
        <fgColor rgb="FFC3EAD5"/>
      </patternFill>
    </fill>
    <fill>
      <patternFill patternType="none">
        <fgColor auto="true"/>
        <bgColor auto="true"/>
      </patternFill>
    </fill>
    <fill>
      <patternFill patternType="solid">
        <fgColor rgb="FFF88825"/>
      </patternFill>
    </fill>
    <fill>
      <patternFill patternType="solid">
        <fgColor rgb="FF9A38D7"/>
        <bgColor auto="true"/>
      </patternFill>
    </fill>
    <fill>
      <patternFill patternType="solid">
        <fgColor rgb="FF9E1E1A"/>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alignment vertical="center"/>
    </xf>
  </cellStyleXfs>
  <cellXfs count="57">
    <xf numFmtId="0" fontId="0" fillId="0" borderId="0" xfId="0">
      <alignment vertical="center"/>
    </xf>
    <xf numFmtId="0" fontId="1" fillId="2" borderId="0" xfId="0" applyFont="true" applyFill="true" applyAlignment="true">
      <alignment horizontal="center" vertical="center"/>
    </xf>
    <xf numFmtId="10" fontId="1" fillId="2" borderId="0" xfId="0" applyNumberFormat="true" applyFont="true" applyFill="true" applyAlignment="true">
      <alignment horizontal="center" vertical="center"/>
    </xf>
    <xf numFmtId="177" fontId="1" fillId="2" borderId="0" xfId="0" applyNumberFormat="true" applyFont="true" applyFill="true" applyAlignment="true">
      <alignment horizontal="center" vertical="center"/>
    </xf>
    <xf numFmtId="176" fontId="2" fillId="0" borderId="0" xfId="0" applyNumberFormat="true" applyFont="true" applyAlignment="true">
      <alignment horizontal="right" vertical="center"/>
    </xf>
    <xf numFmtId="10" fontId="0" fillId="0" borderId="0" xfId="0" applyNumberFormat="true" applyAlignment="true">
      <alignment horizontal="right" vertical="center"/>
    </xf>
    <xf numFmtId="10" fontId="0" fillId="0" borderId="0" xfId="0" applyNumberFormat="true">
      <alignment vertical="center"/>
    </xf>
    <xf numFmtId="177" fontId="0" fillId="0" borderId="0" xfId="0" applyNumberFormat="true">
      <alignment vertical="center"/>
    </xf>
    <xf numFmtId="10" fontId="3" fillId="6" borderId="0" xfId="0" applyNumberFormat="true" applyFont="true" applyFill="true">
      <alignment vertical="center"/>
    </xf>
    <xf numFmtId="177" fontId="0" fillId="11" borderId="0" xfId="0" applyNumberFormat="true" applyFill="true" applyAlignment="true">
      <alignment horizontal="right" vertical="center"/>
    </xf>
    <xf numFmtId="176" fontId="0" fillId="0" borderId="0" xfId="0" applyNumberFormat="true">
      <alignment vertical="center"/>
    </xf>
    <xf numFmtId="10" fontId="3" fillId="6" borderId="0" xfId="0" applyNumberFormat="true" applyFont="true" applyFill="true" applyAlignment="true"/>
    <xf numFmtId="10" fontId="3" fillId="8" borderId="0" xfId="0" applyNumberFormat="true" applyFont="true" applyFill="true" applyAlignment="true"/>
    <xf numFmtId="0" fontId="5" fillId="2" borderId="0" xfId="0" applyFont="true" applyFill="true" applyAlignment="true">
      <alignment horizontal="center" vertical="center"/>
    </xf>
    <xf numFmtId="49" fontId="5" fillId="2" borderId="0" xfId="0" applyNumberFormat="true" applyFont="true" applyFill="true" applyAlignment="true">
      <alignment horizontal="center" vertical="center"/>
    </xf>
    <xf numFmtId="49" fontId="0" fillId="0" borderId="0" xfId="0" applyNumberFormat="true">
      <alignment vertical="center"/>
    </xf>
    <xf numFmtId="176" fontId="5" fillId="2" borderId="0" xfId="0" applyNumberFormat="true" applyFont="true" applyFill="true" applyAlignment="true">
      <alignment horizontal="center" vertical="center"/>
    </xf>
    <xf numFmtId="0" fontId="5" fillId="0" borderId="0" xfId="0" applyFont="true">
      <alignment vertical="center"/>
    </xf>
    <xf numFmtId="0" fontId="6" fillId="0" borderId="0" xfId="0" applyFont="true">
      <alignment vertical="center"/>
    </xf>
    <xf numFmtId="0" fontId="7" fillId="0" borderId="0" xfId="0" applyFont="true">
      <alignment vertical="center"/>
    </xf>
    <xf numFmtId="49" fontId="7" fillId="0" borderId="0" xfId="0" applyNumberFormat="true" applyFont="true">
      <alignment vertical="center"/>
    </xf>
    <xf numFmtId="176" fontId="8" fillId="0" borderId="0" xfId="0" applyNumberFormat="true" applyFont="true" applyAlignment="true">
      <alignment horizontal="right" vertical="center"/>
    </xf>
    <xf numFmtId="0" fontId="9" fillId="0" borderId="0" xfId="0" applyFont="true" applyAlignment="true">
      <alignment vertical="center" wrapText="true"/>
    </xf>
    <xf numFmtId="0" fontId="10" fillId="0" borderId="0" xfId="0" applyFont="true">
      <alignment vertical="center"/>
    </xf>
    <xf numFmtId="49" fontId="10" fillId="0" borderId="0" xfId="0" applyNumberFormat="true" applyFont="true">
      <alignment vertical="center"/>
    </xf>
    <xf numFmtId="176" fontId="11" fillId="0" borderId="0" xfId="0" applyNumberFormat="true" applyFont="true" applyAlignment="true">
      <alignment horizontal="right" vertical="center"/>
    </xf>
    <xf numFmtId="177" fontId="5" fillId="2" borderId="0" xfId="0" applyNumberFormat="true" applyFont="true" applyFill="true" applyAlignment="true">
      <alignment horizontal="center" vertical="center"/>
    </xf>
    <xf numFmtId="10" fontId="12" fillId="0" borderId="0" xfId="0" applyNumberFormat="true" applyFont="true">
      <alignment vertical="center"/>
    </xf>
    <xf numFmtId="0" fontId="5" fillId="0" borderId="1" xfId="0" applyFont="true" applyBorder="true">
      <alignment vertical="center"/>
    </xf>
    <xf numFmtId="176" fontId="2" fillId="0" borderId="1" xfId="0" applyNumberFormat="true" applyFont="true" applyBorder="true" applyAlignment="true">
      <alignment horizontal="right" vertical="center"/>
    </xf>
    <xf numFmtId="177" fontId="0" fillId="10" borderId="2" xfId="0" applyNumberFormat="true" applyFill="true" applyBorder="true" applyAlignment="true">
      <alignment horizontal="right" vertical="center"/>
    </xf>
    <xf numFmtId="0" fontId="13" fillId="0" borderId="0" xfId="0" applyFont="true">
      <alignment vertical="center"/>
    </xf>
    <xf numFmtId="49" fontId="13" fillId="0" borderId="0" xfId="0" applyNumberFormat="true" applyFont="true">
      <alignment vertical="center"/>
    </xf>
    <xf numFmtId="0" fontId="5" fillId="0" borderId="3" xfId="0" applyFont="true" applyBorder="true">
      <alignment vertical="center"/>
    </xf>
    <xf numFmtId="177" fontId="0" fillId="0" borderId="0" xfId="0" applyNumberFormat="true">
      <alignment vertical="center"/>
    </xf>
    <xf numFmtId="0" fontId="0" fillId="0" borderId="0" xfId="0">
      <alignment vertical="center"/>
    </xf>
    <xf numFmtId="0" fontId="5" fillId="0" borderId="0" xfId="0" applyFont="true">
      <alignment vertical="center"/>
    </xf>
    <xf numFmtId="0" fontId="6" fillId="0" borderId="0" xfId="0" applyFont="true">
      <alignment vertical="center"/>
    </xf>
    <xf numFmtId="176" fontId="0" fillId="0" borderId="0" xfId="0" applyNumberFormat="true">
      <alignment vertical="center"/>
    </xf>
    <xf numFmtId="0" fontId="5" fillId="0" borderId="1" xfId="0" applyFont="true" applyBorder="true" applyAlignment="true">
      <alignment horizontal="left" vertical="center"/>
    </xf>
    <xf numFmtId="0" fontId="5" fillId="0" borderId="3" xfId="0" applyFont="true" applyBorder="true" applyAlignment="true">
      <alignment horizontal="left" vertical="center"/>
    </xf>
    <xf numFmtId="0" fontId="6" fillId="0" borderId="3" xfId="0" applyFont="true" applyBorder="true" applyAlignment="true">
      <alignment horizontal="left" vertical="center"/>
    </xf>
    <xf numFmtId="0" fontId="5" fillId="0" borderId="1" xfId="0" applyFont="true" applyBorder="true">
      <alignment vertical="center"/>
    </xf>
    <xf numFmtId="176" fontId="2" fillId="0" borderId="0" xfId="0" applyNumberFormat="true" applyFont="true" applyAlignment="true">
      <alignment horizontal="right" vertical="center"/>
    </xf>
    <xf numFmtId="176" fontId="2" fillId="0" borderId="0" xfId="0" applyNumberFormat="true" applyFont="true" applyAlignment="true">
      <alignment horizontal="center" vertical="center"/>
    </xf>
    <xf numFmtId="0" fontId="2" fillId="0" borderId="0" xfId="0" applyFont="true" applyAlignment="true">
      <alignment horizontal="center" vertical="center"/>
    </xf>
    <xf numFmtId="177" fontId="0" fillId="4" borderId="0" xfId="0" applyNumberFormat="true" applyFill="true" applyAlignment="true">
      <alignment horizontal="right" vertical="center"/>
    </xf>
    <xf numFmtId="177" fontId="0" fillId="3" borderId="0" xfId="0" applyNumberFormat="true" applyFill="true" applyAlignment="true">
      <alignment horizontal="right" vertical="center"/>
    </xf>
    <xf numFmtId="177" fontId="0" fillId="5" borderId="0" xfId="0" applyNumberFormat="true" applyFill="true" applyAlignment="true">
      <alignment horizontal="right" vertical="center"/>
    </xf>
    <xf numFmtId="177" fontId="0" fillId="7" borderId="1" xfId="0" applyNumberFormat="true" applyFill="true" applyBorder="true" applyAlignment="true">
      <alignment horizontal="right" vertical="center"/>
    </xf>
    <xf numFmtId="177" fontId="0" fillId="7" borderId="3" xfId="0" applyNumberFormat="true" applyFill="true" applyBorder="true" applyAlignment="true">
      <alignment horizontal="right" vertical="center"/>
    </xf>
    <xf numFmtId="177" fontId="3" fillId="9" borderId="3" xfId="0" applyNumberFormat="true" applyFont="true" applyFill="true" applyBorder="true" applyAlignment="true">
      <alignment horizontal="right" vertical="center"/>
    </xf>
    <xf numFmtId="0" fontId="5" fillId="0" borderId="2" xfId="0" applyFont="true" applyBorder="true">
      <alignment vertical="center"/>
    </xf>
    <xf numFmtId="0" fontId="6" fillId="0" borderId="3" xfId="0" applyFont="true" applyBorder="true">
      <alignment vertical="center"/>
    </xf>
    <xf numFmtId="176" fontId="2" fillId="0" borderId="1" xfId="0" applyNumberFormat="true" applyFont="true" applyBorder="true">
      <alignment vertical="center"/>
    </xf>
    <xf numFmtId="176" fontId="2" fillId="0" borderId="3" xfId="0" applyNumberFormat="true" applyFont="true" applyBorder="true">
      <alignment vertical="center"/>
    </xf>
    <xf numFmtId="0" fontId="5" fillId="0" borderId="0" xfId="0" applyFont="true" applyAlignment="true">
      <alignment horizontal="lef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持仓比例"/>
  <dimension ref="A1:O42"/>
  <sheetViews>
    <sheetView tabSelected="true" topLeftCell="A13" workbookViewId="0">
      <selection activeCell="I26" sqref="I26"/>
    </sheetView>
  </sheetViews>
  <sheetFormatPr defaultColWidth="13.64453125" defaultRowHeight="18" customHeight="true"/>
  <cols>
    <col bestFit="true" customWidth="true" max="1" min="1" style="18" width="14.87890625"/>
    <col bestFit="true" customWidth="true" max="2" min="2" style="18" width="13.9375"/>
    <col bestFit="true" customWidth="true" max="3" min="3" width="10.9375"/>
    <col bestFit="true" customWidth="true" max="4" min="4" style="15" width="9.41015625"/>
    <col bestFit="true" customWidth="true" max="5" min="5" width="8.46875"/>
    <col bestFit="true" customWidth="true" max="6" min="6" width="7.05859375"/>
    <col bestFit="true" customWidth="true" max="7" min="7" width="8.5859375"/>
    <col bestFit="true" customWidth="true" max="8" min="8" width="8.8203125"/>
    <col bestFit="true" customWidth="true" max="9" min="9" width="6.46875"/>
    <col bestFit="true" customWidth="true" max="10" min="10" width="8.17578125"/>
    <col bestFit="true" customWidth="true" max="14" min="11" width="8.8203125"/>
    <col bestFit="true" customWidth="true" max="15" min="15" width="12.05859375"/>
  </cols>
  <sheetData>
    <row r="1" spans="1:15" ht="18" customHeight="true">
      <c r="A1" s="13" t="s">
        <v>0</v>
      </c>
      <c r="B1" s="13" t="s">
        <v>1</v>
      </c>
      <c r="C1" s="1" t="s">
        <v>2</v>
      </c>
      <c r="D1" s="14" t="s">
        <v>41</v>
      </c>
      <c r="E1" s="1" t="s">
        <v>3</v>
      </c>
      <c r="F1" s="13" t="s">
        <v>40</v>
      </c>
      <c r="G1" s="16" t="s">
        <v>67</v>
      </c>
      <c r="H1" s="16" t="s">
        <v>66</v>
      </c>
      <c r="I1" s="2" t="s">
        <v>4</v>
      </c>
      <c r="J1" s="2" t="s">
        <v>5</v>
      </c>
      <c r="K1" s="2" t="s">
        <v>6</v>
      </c>
      <c r="L1" s="3" t="s">
        <v>7</v>
      </c>
      <c r="M1" s="3" t="s">
        <v>8</v>
      </c>
      <c r="N1" s="3" t="s">
        <v>23</v>
      </c>
      <c r="O1" s="3" t="s">
        <v>76</v>
      </c>
    </row>
    <row r="2" spans="1:15" ht="18" customHeight="true">
      <c r="A2" s="39" t="s">
        <v>99</v>
      </c>
      <c r="B2" s="36" t="s">
        <v>9</v>
      </c>
      <c r="C2" t="s">
        <v>10</v>
      </c>
      <c r="D2" s="15" t="s">
        <v>42</v>
      </c>
      <c r="E2" t="s">
        <v>135</v>
      </c>
      <c r="F2">
        <v>1300</v>
      </c>
      <c r="G2" s="4">
        <f>E2*F2*C31</f>
      </c>
      <c r="H2" s="43">
        <f>SUM(G2:G4)</f>
      </c>
      <c r="I2" s="5">
        <f>G2/G27</f>
      </c>
      <c r="J2" s="6"/>
      <c r="K2" s="5">
        <f>G2/G29</f>
      </c>
      <c r="L2" s="7"/>
      <c r="M2" s="47">
        <f>H2/G27</f>
      </c>
      <c r="N2" s="11">
        <f>SUM(G17:G24)/G27</f>
      </c>
      <c r="O2" s="11">
        <f>SUM(G2:G3,G15,G17:G19,G21:G22)/G27</f>
      </c>
    </row>
    <row r="3" spans="1:15" ht="18" customHeight="true">
      <c r="A3" s="39"/>
      <c r="B3" s="37"/>
      <c r="C3" t="s">
        <v>11</v>
      </c>
      <c r="D3" s="15" t="s">
        <v>43</v>
      </c>
      <c r="E3" t="s">
        <v>136</v>
      </c>
      <c r="F3">
        <v>5100</v>
      </c>
      <c r="G3" s="4">
        <f>E3*F3*C31</f>
      </c>
      <c r="H3" s="35"/>
      <c r="I3" s="5">
        <f>G3/G27</f>
      </c>
      <c r="J3" s="6"/>
      <c r="K3" s="5">
        <f>G3/G29</f>
      </c>
      <c r="L3" s="7"/>
      <c r="M3" s="35"/>
      <c r="N3" s="3" t="s">
        <v>36</v>
      </c>
      <c r="O3" s="26" t="s">
        <v>82</v>
      </c>
    </row>
    <row r="4" spans="1:15" ht="18" customHeight="true">
      <c r="A4" s="39"/>
      <c r="B4" s="37"/>
      <c r="C4" t="s">
        <v>12</v>
      </c>
      <c r="D4" s="15" t="s">
        <v>44</v>
      </c>
      <c r="E4" t="s">
        <v>114</v>
      </c>
      <c r="F4">
        <v>252</v>
      </c>
      <c r="G4" s="4">
        <f>E4*F4*C32</f>
      </c>
      <c r="H4" s="35"/>
      <c r="I4" s="5">
        <f>G4/G27</f>
      </c>
      <c r="J4" s="6"/>
      <c r="L4" s="5">
        <f>G4/G30</f>
      </c>
      <c r="M4" s="35"/>
      <c r="N4" s="11">
        <f>SUM(G2:G4,G15:G16)/G27</f>
      </c>
      <c r="O4" s="11">
        <f>SUM(G7,G8:G10,G16,G20)/G27</f>
      </c>
    </row>
    <row r="5" spans="1:15" ht="18" customHeight="true">
      <c r="A5" s="39"/>
      <c r="B5" s="56" t="s">
        <v>13</v>
      </c>
      <c r="C5" s="23" t="s">
        <v>14</v>
      </c>
      <c r="D5" s="24" t="s">
        <v>45</v>
      </c>
      <c r="E5" s="23" t="s">
        <v>146</v>
      </c>
      <c r="F5" s="23">
        <v>0</v>
      </c>
      <c r="G5" s="25">
        <f>E5*F5</f>
      </c>
      <c r="H5" s="44">
        <f>SUM(G5:G7)</f>
      </c>
      <c r="I5" s="5">
        <f>G5/G27</f>
      </c>
      <c r="J5" s="5">
        <f>G5/G28</f>
      </c>
      <c r="K5" s="6"/>
      <c r="L5" s="5"/>
      <c r="M5" s="46">
        <f>H5/G27</f>
      </c>
      <c r="N5" s="3" t="s">
        <v>37</v>
      </c>
      <c r="O5" s="26" t="s">
        <v>85</v>
      </c>
    </row>
    <row r="6" spans="1:15" ht="18" customHeight="true">
      <c r="A6" s="39"/>
      <c r="B6" s="56"/>
      <c r="C6" s="19" t="s">
        <v>15</v>
      </c>
      <c r="D6" s="20" t="s">
        <v>46</v>
      </c>
      <c r="E6" s="19" t="s">
        <v>147</v>
      </c>
      <c r="F6" s="19">
        <v>3100</v>
      </c>
      <c r="G6" s="21">
        <f>E6*F6</f>
      </c>
      <c r="H6" s="45"/>
      <c r="I6" s="5">
        <f>G6/G27</f>
      </c>
      <c r="J6" s="5">
        <f>G6/G28</f>
      </c>
      <c r="K6" s="6"/>
      <c r="L6" s="5"/>
      <c r="M6" s="46"/>
      <c r="N6" s="11">
        <f>SUM(G17:G22)/G27</f>
      </c>
      <c r="O6" s="12">
        <f>SUM(G2:G3,G17:G19)/G27</f>
      </c>
    </row>
    <row r="7" spans="1:15" ht="18" customHeight="true">
      <c r="A7" s="39"/>
      <c r="B7" s="56"/>
      <c r="C7" s="19" t="s">
        <v>79</v>
      </c>
      <c r="D7" s="20" t="s">
        <v>80</v>
      </c>
      <c r="E7" s="19" t="s">
        <v>148</v>
      </c>
      <c r="F7" s="19">
        <v>2900</v>
      </c>
      <c r="G7" s="21">
        <f>E7*F7</f>
      </c>
      <c r="H7" s="45"/>
      <c r="I7" s="5">
        <f>G7/G27</f>
      </c>
      <c r="J7" s="5">
        <f>G7/G28</f>
      </c>
      <c r="K7" s="6"/>
      <c r="L7" s="5"/>
      <c r="M7" s="46"/>
      <c r="N7" s="3" t="s">
        <v>13</v>
      </c>
      <c r="O7" s="26" t="s">
        <v>86</v>
      </c>
    </row>
    <row r="8" spans="1:15" ht="18" customHeight="true">
      <c r="A8" s="39"/>
      <c r="B8" s="42" t="s">
        <v>16</v>
      </c>
      <c r="C8" s="23" t="s">
        <v>17</v>
      </c>
      <c r="D8" s="24" t="s">
        <v>47</v>
      </c>
      <c r="E8" s="23" t="s">
        <v>149</v>
      </c>
      <c r="F8" s="23">
        <v>0</v>
      </c>
      <c r="G8" s="25">
        <f>E8*F8</f>
      </c>
      <c r="H8" s="43">
        <f>SUM(G8:G10)</f>
      </c>
      <c r="I8" s="5">
        <f>G8/G27</f>
      </c>
      <c r="J8" s="5">
        <f>G8/G28</f>
      </c>
      <c r="K8" s="6"/>
      <c r="L8" s="7"/>
      <c r="M8" s="48">
        <f>H8/G27</f>
      </c>
      <c r="N8" s="8">
        <f>SUM(G5:G7,G23)/G27</f>
      </c>
      <c r="O8" s="8">
        <f>SUM(G15,G21:G22)/G27</f>
      </c>
    </row>
    <row r="9" spans="1:15" ht="18" customHeight="true">
      <c r="A9" s="39"/>
      <c r="B9" s="33"/>
      <c r="C9" s="19" t="s">
        <v>68</v>
      </c>
      <c r="D9" s="20" t="s">
        <v>69</v>
      </c>
      <c r="E9" s="19" t="s">
        <v>141</v>
      </c>
      <c r="F9" s="19">
        <v>4000</v>
      </c>
      <c r="G9" s="21">
        <f>E9*F9*C31</f>
      </c>
      <c r="H9" s="43"/>
      <c r="I9" s="5">
        <f>G9/G27</f>
      </c>
      <c r="J9" s="5">
        <f>G9/G28</f>
      </c>
      <c r="L9" s="7"/>
      <c r="M9" s="48"/>
      <c r="N9" s="3" t="s">
        <v>16</v>
      </c>
      <c r="O9" s="3" t="s">
        <v>81</v>
      </c>
    </row>
    <row r="10" spans="1:15" ht="18" customHeight="true">
      <c r="A10" s="39"/>
      <c r="B10" s="33"/>
      <c r="C10" s="19" t="s">
        <v>83</v>
      </c>
      <c r="D10" s="20" t="s">
        <v>84</v>
      </c>
      <c r="E10" s="19" t="s">
        <v>120</v>
      </c>
      <c r="F10" s="19">
        <v>600</v>
      </c>
      <c r="G10" s="21">
        <f>E10*F10</f>
      </c>
      <c r="H10" s="43"/>
      <c r="I10" s="5">
        <f>G10/G27</f>
      </c>
      <c r="J10" s="5">
        <f>G10/G28</f>
      </c>
      <c r="L10" s="7"/>
      <c r="M10" s="48"/>
      <c r="N10" s="8">
        <f>SUM(G8:G10)/G27</f>
      </c>
      <c r="O10" s="8">
        <f>SUM(G2:G4,G13)/G27</f>
      </c>
    </row>
    <row r="11" spans="1:15" ht="18" customHeight="true">
      <c r="A11" s="39"/>
      <c r="B11" s="52" t="s">
        <v>70</v>
      </c>
      <c r="C11" s="23" t="s">
        <v>21</v>
      </c>
      <c r="D11" s="24" t="s">
        <v>51</v>
      </c>
      <c r="E11" s="23" t="s">
        <v>143</v>
      </c>
      <c r="F11" s="23">
        <v>0</v>
      </c>
      <c r="G11" s="25">
        <f>E11*F11*C31</f>
      </c>
      <c r="H11" s="54">
        <f>SUM(G11:G16)</f>
      </c>
      <c r="I11" s="5">
        <f>G11/G27</f>
      </c>
      <c r="J11" s="6"/>
      <c r="K11" s="5">
        <f>G11/G29</f>
      </c>
      <c r="L11" s="7"/>
      <c r="M11" s="49">
        <f>H11/G27</f>
      </c>
      <c r="N11" s="3" t="s">
        <v>38</v>
      </c>
      <c r="O11" s="26" t="s">
        <v>87</v>
      </c>
    </row>
    <row r="12" spans="1:15" ht="18" customHeight="true">
      <c r="A12" s="39"/>
      <c r="B12" s="52"/>
      <c r="C12" s="23" t="s">
        <v>19</v>
      </c>
      <c r="D12" s="24" t="s">
        <v>49</v>
      </c>
      <c r="E12" s="23" t="s">
        <v>122</v>
      </c>
      <c r="F12" s="23">
        <v>0</v>
      </c>
      <c r="G12" s="25">
        <f>E12*F12*C31</f>
      </c>
      <c r="H12" s="54"/>
      <c r="I12" s="5">
        <f>G12/G27</f>
      </c>
      <c r="J12" s="6"/>
      <c r="K12" s="5">
        <f>G12/G29</f>
      </c>
      <c r="L12" s="7"/>
      <c r="M12" s="49"/>
      <c r="N12" s="8">
        <f>SUM(G4,G11:G12)/G27</f>
      </c>
      <c r="O12" s="8">
        <f>SUM(G2:G3,G9)/G27</f>
      </c>
    </row>
    <row r="13" spans="1:15" ht="18" customHeight="true">
      <c r="A13" s="39"/>
      <c r="B13" s="53" t="s">
        <v>71</v>
      </c>
      <c r="C13" s="19" t="s">
        <v>18</v>
      </c>
      <c r="D13" s="20" t="s">
        <v>48</v>
      </c>
      <c r="E13" s="19" t="s">
        <v>102</v>
      </c>
      <c r="F13" s="19">
        <v>11600</v>
      </c>
      <c r="G13" s="21">
        <f>E13*F13*C31</f>
      </c>
      <c r="H13" s="54"/>
      <c r="I13" s="5">
        <f>G13/G27</f>
      </c>
      <c r="J13" s="6"/>
      <c r="K13" s="5">
        <f>G13/G29</f>
      </c>
      <c r="L13" s="7"/>
      <c r="M13" s="49"/>
      <c r="N13" s="3" t="s">
        <v>39</v>
      </c>
      <c r="O13" s="26" t="s">
        <v>98</v>
      </c>
    </row>
    <row r="14" spans="1:15" ht="18" customHeight="true">
      <c r="A14" s="39"/>
      <c r="B14" s="53"/>
      <c r="C14" s="23" t="s">
        <v>22</v>
      </c>
      <c r="D14" s="24" t="s">
        <v>52</v>
      </c>
      <c r="E14" s="23" t="s">
        <v>144</v>
      </c>
      <c r="F14" s="23">
        <v>0</v>
      </c>
      <c r="G14" s="25">
        <f>E14*F14*C31</f>
      </c>
      <c r="H14" s="54"/>
      <c r="I14" s="5">
        <f>G14/G27</f>
      </c>
      <c r="J14" s="6"/>
      <c r="K14" s="5">
        <f>G14/G29</f>
      </c>
      <c r="L14" s="7"/>
      <c r="M14" s="49"/>
      <c r="N14" s="8">
        <f>SUM(G13:G14)/G27</f>
      </c>
      <c r="O14" s="8">
        <f>SUM(G3,G4,G7,G9,G10,G11,G15,G16,G21,G23)/G27</f>
      </c>
    </row>
    <row r="15" spans="1:15" ht="18" customHeight="true">
      <c r="A15" s="40"/>
      <c r="B15" s="41" t="s">
        <v>72</v>
      </c>
      <c r="C15" s="31" t="s">
        <v>101</v>
      </c>
      <c r="D15" s="32" t="s">
        <v>100</v>
      </c>
      <c r="E15" s="31" t="s">
        <v>124</v>
      </c>
      <c r="F15" s="31">
        <v>2500</v>
      </c>
      <c r="G15" s="25">
        <f>E15*F15*C31</f>
      </c>
      <c r="H15" s="55"/>
      <c r="I15" s="5">
        <f>G15/G27</f>
      </c>
      <c r="J15" s="6"/>
      <c r="K15" s="5">
        <f>G15/G29</f>
      </c>
      <c r="L15" s="7"/>
      <c r="M15" s="50"/>
      <c r="N15" s="8"/>
      <c r="O15" s="26" t="s">
        <v>103</v>
      </c>
    </row>
    <row r="16" spans="1:15" ht="18" customHeight="true">
      <c r="A16" s="39"/>
      <c r="B16" s="41"/>
      <c r="C16" s="19" t="s">
        <v>20</v>
      </c>
      <c r="D16" s="20" t="s">
        <v>50</v>
      </c>
      <c r="E16" s="19" t="s">
        <v>125</v>
      </c>
      <c r="F16" s="19">
        <v>5700</v>
      </c>
      <c r="G16" s="21">
        <f>E16*F16*C31</f>
      </c>
      <c r="H16" s="54"/>
      <c r="I16" s="5">
        <f>G16/G27</f>
      </c>
      <c r="J16" s="6"/>
      <c r="K16" s="5">
        <f>G16/G29</f>
      </c>
      <c r="L16" s="7"/>
      <c r="M16" s="49"/>
      <c r="O16" s="8">
        <f>SUM(G10)/G27</f>
      </c>
    </row>
    <row r="17" spans="1:15" ht="18" customHeight="true">
      <c r="A17" s="33" t="s">
        <v>74</v>
      </c>
      <c r="B17" s="33" t="s">
        <v>75</v>
      </c>
      <c r="C17" s="23" t="s">
        <v>60</v>
      </c>
      <c r="D17" s="24" t="s">
        <v>53</v>
      </c>
      <c r="E17" s="23" t="s">
        <v>126</v>
      </c>
      <c r="F17" s="23">
        <v>0</v>
      </c>
      <c r="G17" s="25">
        <f>E17*F17*C32</f>
      </c>
      <c r="H17" s="43">
        <f>SUM(G17:G22)</f>
      </c>
      <c r="I17" s="5">
        <f>G17/G27</f>
      </c>
      <c r="J17" s="6"/>
      <c r="K17" s="6"/>
      <c r="L17" s="5">
        <f>G17/G30</f>
      </c>
      <c r="M17" s="51">
        <f>H17/G27</f>
      </c>
      <c r="O17" s="26" t="s">
        <v>104</v>
      </c>
    </row>
    <row r="18" spans="1:15" ht="18" customHeight="true">
      <c r="A18" s="33"/>
      <c r="B18" s="33"/>
      <c r="C18" s="31" t="s">
        <v>61</v>
      </c>
      <c r="D18" s="32" t="s">
        <v>54</v>
      </c>
      <c r="E18" s="31" t="s">
        <v>127</v>
      </c>
      <c r="F18" s="31">
        <v>18</v>
      </c>
      <c r="G18" s="4">
        <f>E18*F18*C32</f>
      </c>
      <c r="H18" s="43"/>
      <c r="I18" s="5">
        <f>G18/G27</f>
      </c>
      <c r="J18" s="6"/>
      <c r="K18" s="6"/>
      <c r="L18" s="5">
        <f>G18/G30</f>
      </c>
      <c r="M18" s="51"/>
      <c r="O18" s="8">
        <f>SUM(G11,G13,G15,G16)/G27</f>
      </c>
    </row>
    <row r="19" spans="1:15" ht="18" customHeight="true">
      <c r="A19" s="33"/>
      <c r="B19" s="33"/>
      <c r="C19" s="23" t="s">
        <v>63</v>
      </c>
      <c r="D19" s="24" t="s">
        <v>56</v>
      </c>
      <c r="E19" s="23" t="s">
        <v>128</v>
      </c>
      <c r="F19" s="23">
        <v>0</v>
      </c>
      <c r="G19" s="25">
        <f>E19*F19*C32</f>
      </c>
      <c r="H19" s="43"/>
      <c r="I19" s="5">
        <f>G19/G27</f>
      </c>
      <c r="J19" s="6"/>
      <c r="K19" s="6"/>
      <c r="L19" s="5">
        <f>G19/G30</f>
      </c>
      <c r="M19" s="51"/>
    </row>
    <row r="20" spans="1:15" ht="18" customHeight="true">
      <c r="A20" s="33"/>
      <c r="B20" s="33"/>
      <c r="C20" s="23" t="s">
        <v>64</v>
      </c>
      <c r="D20" s="24" t="s">
        <v>57</v>
      </c>
      <c r="E20" s="23" t="s">
        <v>129</v>
      </c>
      <c r="F20" s="23">
        <v>0</v>
      </c>
      <c r="G20" s="25">
        <f>E20*F20*C32</f>
      </c>
      <c r="H20" s="43"/>
      <c r="I20" s="5">
        <f>G20/G27</f>
      </c>
      <c r="J20" s="6"/>
      <c r="K20" s="6"/>
      <c r="L20" s="5">
        <f>G20/G30</f>
      </c>
      <c r="M20" s="51"/>
    </row>
    <row r="21" spans="1:15" ht="18" customHeight="true">
      <c r="A21" s="33"/>
      <c r="B21" s="33"/>
      <c r="C21" s="19" t="s">
        <v>62</v>
      </c>
      <c r="D21" s="20" t="s">
        <v>55</v>
      </c>
      <c r="E21" s="19" t="s">
        <v>130</v>
      </c>
      <c r="F21" s="19">
        <v>257</v>
      </c>
      <c r="G21" s="21">
        <f>E21*F21*C32</f>
      </c>
      <c r="H21" s="43"/>
      <c r="I21" s="5">
        <f>G21/G27</f>
      </c>
      <c r="J21" s="6"/>
      <c r="K21" s="6"/>
      <c r="L21" s="5">
        <f>G21/G30</f>
      </c>
      <c r="M21" s="51"/>
    </row>
    <row r="22" spans="1:15" ht="18" customHeight="true">
      <c r="A22" s="33"/>
      <c r="B22" s="33"/>
      <c r="C22" s="19" t="s">
        <v>77</v>
      </c>
      <c r="D22" s="20" t="s">
        <v>78</v>
      </c>
      <c r="E22" s="19" t="s">
        <v>131</v>
      </c>
      <c r="F22" s="19">
        <v>18</v>
      </c>
      <c r="G22" s="21">
        <f>E22*F22*C32</f>
      </c>
      <c r="H22" s="43"/>
      <c r="I22" s="5">
        <f>G22/G27</f>
      </c>
      <c r="J22" s="6"/>
      <c r="K22" s="6"/>
      <c r="L22" s="5">
        <f>G22/G30</f>
      </c>
      <c r="M22" s="51"/>
    </row>
    <row r="23" spans="1:15" ht="18" customHeight="true">
      <c r="A23" s="33"/>
      <c r="B23" s="28" t="s">
        <v>24</v>
      </c>
      <c r="C23" s="19" t="s">
        <v>65</v>
      </c>
      <c r="D23" s="20" t="s">
        <v>58</v>
      </c>
      <c r="E23" s="19" t="s">
        <v>132</v>
      </c>
      <c r="F23" s="19">
        <v>102</v>
      </c>
      <c r="G23" s="21">
        <f>E23*F23*C32</f>
      </c>
      <c r="H23" s="29">
        <f>SUM(G23:G23)</f>
      </c>
      <c r="I23" s="5">
        <f>G23/G27</f>
      </c>
      <c r="J23" s="6"/>
      <c r="K23" s="6"/>
      <c r="L23" s="5">
        <f>G23/G30</f>
      </c>
      <c r="M23" s="30">
        <f>H23/G27</f>
      </c>
    </row>
    <row r="24" spans="1:15" ht="18" customHeight="true">
      <c r="A24" s="33"/>
      <c r="B24" s="17" t="s">
        <v>73</v>
      </c>
      <c r="C24" t="s">
        <v>25</v>
      </c>
      <c r="D24" s="15" t="s">
        <v>59</v>
      </c>
      <c r="E24" t="s">
        <v>150</v>
      </c>
      <c r="F24">
        <v>102800</v>
      </c>
      <c r="G24" s="4">
        <f>E24*F24</f>
      </c>
      <c r="H24" s="4">
        <f>SUM(G24)</f>
      </c>
      <c r="I24" s="5">
        <f>G24/G27</f>
      </c>
      <c r="J24" s="5"/>
      <c r="K24" s="6"/>
      <c r="L24" s="5">
        <f>G24/G30</f>
      </c>
      <c r="M24" s="9">
        <f>H24/G27</f>
      </c>
    </row>
    <row r="25" spans="1:15" ht="18" customHeight="true">
      <c r="A25" s="36" t="s">
        <v>26</v>
      </c>
      <c r="B25" s="36" t="s">
        <v>26</v>
      </c>
      <c r="C25" t="s">
        <v>27</v>
      </c>
      <c r="E25">
        <v>1</v>
      </c>
      <c r="F25">
        <v>168467</v>
      </c>
      <c r="G25" s="4">
        <f>E25*F25</f>
      </c>
      <c r="H25" s="38">
        <f>SUM(G25:G26)</f>
      </c>
      <c r="I25" s="6">
        <f>G25/G27</f>
      </c>
      <c r="J25" s="6"/>
      <c r="K25" s="6"/>
      <c r="L25" s="7"/>
      <c r="M25" s="34">
        <f>H25/G27</f>
      </c>
    </row>
    <row r="26" spans="1:15" ht="12.6">
      <c r="A26" s="37"/>
      <c r="B26" s="37"/>
      <c r="C26" t="s">
        <v>28</v>
      </c>
      <c r="E26">
        <v>1</v>
      </c>
      <c r="F26" s="22">
        <v>11600</v>
      </c>
      <c r="G26" s="4">
        <f>E26*F26*C32</f>
      </c>
      <c r="H26" s="35"/>
      <c r="I26" s="6">
        <f>G26/G27</f>
      </c>
      <c r="J26" s="6"/>
      <c r="K26" s="6"/>
      <c r="L26" s="7"/>
      <c r="M26" s="35"/>
    </row>
    <row r="27" spans="1:15" ht="12.6">
      <c r="A27" s="17" t="s">
        <v>29</v>
      </c>
      <c r="G27" s="4">
        <f>SUM(G2:G26)</f>
      </c>
      <c r="H27" s="10"/>
      <c r="I27" s="6">
        <f>SUM(I2:I24)</f>
      </c>
      <c r="J27" s="6">
        <f>SUM(J2:J23)</f>
      </c>
      <c r="K27" s="6">
        <f>SUM(K2:K23)</f>
      </c>
      <c r="L27" s="6">
        <f>SUM(L2:L24)</f>
      </c>
      <c r="M27" s="6">
        <f>SUM(M2:M26)</f>
      </c>
      <c r="N27" s="6"/>
    </row>
    <row r="28" spans="1:15" ht="12.6">
      <c r="A28" s="17" t="s">
        <v>30</v>
      </c>
      <c r="G28" s="4">
        <f>SUM(G5:G10)</f>
      </c>
      <c r="H28" s="10"/>
      <c r="I28" s="6"/>
      <c r="J28" s="6"/>
      <c r="K28" s="6"/>
      <c r="L28" s="7"/>
      <c r="M28" s="7"/>
    </row>
    <row r="29" spans="1:15" ht="12.6">
      <c r="A29" s="17" t="s">
        <v>31</v>
      </c>
      <c r="G29" s="4">
        <f>SUM(G2:G3,G11:G16)</f>
      </c>
      <c r="H29" s="10"/>
      <c r="I29" s="6"/>
      <c r="J29" s="6"/>
      <c r="K29" s="6"/>
      <c r="L29" s="7"/>
      <c r="M29" s="7"/>
    </row>
    <row r="30" spans="1:15" ht="12.6">
      <c r="A30" s="17" t="s">
        <v>32</v>
      </c>
      <c r="G30" s="4">
        <f>SUM(G4,G17:G24)</f>
      </c>
      <c r="H30" s="10"/>
      <c r="I30" s="6"/>
      <c r="J30" s="6"/>
      <c r="K30" s="6"/>
      <c r="L30" s="7"/>
      <c r="M30" s="7"/>
    </row>
    <row r="31" spans="1:15" ht="12.6">
      <c r="A31" s="17" t="s">
        <v>33</v>
      </c>
      <c r="B31" s="17" t="s">
        <v>34</v>
      </c>
      <c r="C31">
        <v>0.85102</v>
      </c>
      <c r="G31" s="10"/>
      <c r="H31" s="10"/>
      <c r="I31" s="6"/>
      <c r="J31" s="6"/>
      <c r="K31" s="6"/>
      <c r="L31" s="7"/>
      <c r="M31" s="7"/>
    </row>
    <row r="32" spans="1:15" ht="12.6">
      <c r="A32" s="17"/>
      <c r="B32" s="17" t="s">
        <v>28</v>
      </c>
      <c r="C32">
        <v>6.6779099999999998</v>
      </c>
      <c r="G32" s="10"/>
      <c r="H32" s="10"/>
      <c r="I32" s="6"/>
      <c r="J32" s="6"/>
      <c r="K32" s="6"/>
      <c r="L32" s="7"/>
      <c r="M32" s="7"/>
    </row>
    <row r="33" spans="1:13" ht="12.6">
      <c r="A33" s="17" t="s">
        <v>35</v>
      </c>
      <c r="C33" t="s">
        <v>134</v>
      </c>
      <c r="G33" s="10"/>
      <c r="H33" s="10"/>
      <c r="I33" s="6"/>
      <c r="J33" s="6"/>
      <c r="K33" s="6"/>
      <c r="L33" s="7"/>
      <c r="M33" s="7"/>
    </row>
    <row r="34" spans="1:13" ht="12.6">
      <c r="A34" s="17"/>
      <c r="G34" s="10"/>
      <c r="H34" s="10"/>
      <c r="I34" s="6"/>
      <c r="J34" s="6"/>
      <c r="K34" s="6"/>
      <c r="L34" s="7"/>
      <c r="M34" s="7"/>
    </row>
    <row r="35" spans="1:13" ht="18" customHeight="true">
      <c r="A35" s="17" t="s">
        <v>96</v>
      </c>
      <c r="B35" s="18" t="s">
        <v>94</v>
      </c>
      <c r="F35">
        <v>677.7</v>
      </c>
      <c r="G35" s="6">
        <f>(E2-F35)/F35</f>
      </c>
    </row>
    <row r="36" spans="1:13" ht="18" customHeight="true">
      <c r="B36" s="18" t="s">
        <v>95</v>
      </c>
      <c r="F36">
        <v>185.2</v>
      </c>
      <c r="G36" s="6">
        <f>(E3-F36)/F36</f>
      </c>
    </row>
    <row r="37" spans="1:13" ht="18" customHeight="true">
      <c r="B37" s="18" t="s">
        <v>91</v>
      </c>
      <c r="G37" s="27">
        <f>G36-G35</f>
      </c>
    </row>
    <row r="38" spans="1:13" ht="18" customHeight="true">
      <c r="B38" s="18" t="s">
        <v>90</v>
      </c>
      <c r="G38" s="6">
        <f>(1.02*3+0.92*3+0.87*2)/8-1</f>
      </c>
      <c r="H38" s="27">
        <f>G37-G38</f>
      </c>
      <c r="I38" t="s">
        <v>105</v>
      </c>
    </row>
    <row r="39" spans="1:13" ht="18" customHeight="true">
      <c r="A39" s="17" t="s">
        <v>97</v>
      </c>
      <c r="B39" s="18" t="s">
        <v>88</v>
      </c>
      <c r="F39">
        <v>449</v>
      </c>
      <c r="G39" s="6">
        <f>(E2-F39)/F39</f>
      </c>
    </row>
    <row r="40" spans="1:13" ht="18" customHeight="true">
      <c r="B40" s="18" t="s">
        <v>89</v>
      </c>
      <c r="F40">
        <v>396</v>
      </c>
      <c r="G40" s="6">
        <f>(E10-F40)/F40</f>
      </c>
    </row>
    <row r="41" spans="1:13" ht="18" customHeight="true">
      <c r="B41" s="18" t="s">
        <v>92</v>
      </c>
      <c r="G41" s="27">
        <f>G40-G39</f>
      </c>
    </row>
    <row r="42" spans="1:13" ht="18" customHeight="true">
      <c r="B42" s="18" t="s">
        <v>93</v>
      </c>
      <c r="G42" s="6">
        <f>(0-9%-20%)/3</f>
      </c>
      <c r="H42" s="27">
        <f>G41-G42</f>
      </c>
      <c r="I42" t="s">
        <v>105</v>
      </c>
    </row>
  </sheetData>
  <mergeCells count="23">
    <mergeCell ref="M5:M7"/>
    <mergeCell ref="M2:M4"/>
    <mergeCell ref="M8:M10"/>
    <mergeCell ref="B17:B22"/>
    <mergeCell ref="M11:M16"/>
    <mergeCell ref="M17:M22"/>
    <mergeCell ref="H17:H22"/>
    <mergeCell ref="B11:B12"/>
    <mergeCell ref="B13:B14"/>
    <mergeCell ref="H11:H16"/>
    <mergeCell ref="B5:B7"/>
    <mergeCell ref="A2:A16"/>
    <mergeCell ref="B15:B16"/>
    <mergeCell ref="B8:B10"/>
    <mergeCell ref="H8:H10"/>
    <mergeCell ref="B2:B4"/>
    <mergeCell ref="H2:H4"/>
    <mergeCell ref="H5:H7"/>
    <mergeCell ref="A17:A24"/>
    <mergeCell ref="M25:M26"/>
    <mergeCell ref="A25:A26"/>
    <mergeCell ref="B25:B26"/>
    <mergeCell ref="H25:H26"/>
  </mergeCells>
  <phoneticPr fontId="4" type="noConversion"/>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持仓比例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2026-05-20T23:25:25Z</dcterms:created>
  <dcterms:modified xsi:type="dcterms:W3CDTF">2026-10-22T06:06:05Z</dcterms:modified>
</cp:coreProperties>
</file>