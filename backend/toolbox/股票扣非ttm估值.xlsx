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E:\download\"/>
    </mc:Choice>
  </mc:AlternateContent>
  <bookViews>
    <workbookView xWindow="4020" yWindow="0" windowWidth="19020" windowHeight="12336"/>
  </bookViews>
  <sheets>
    <sheet name="股票扣非ttm估值" sheetId="1" r:id="rId1"/>
  </sheet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6" i="1" l="true"/>
  <c r="G4" i="1"/>
  <c r="G5" i="1"/>
  <c r="G3" i="1"/>
  <c r="G8" i="1"/>
  <c r="F8" i="1"/>
  <c r="G7" i="1"/>
  <c r="F7" i="1"/>
  <c r="F6" i="1"/>
  <c r="G10" i="1"/>
  <c r="F10" i="1"/>
  <c r="H10" i="1" s="true"/>
  <c r="G9" i="1"/>
  <c r="F9" i="1"/>
  <c r="G2" i="1"/>
  <c r="F3" i="1"/>
  <c r="F2" i="1"/>
  <c r="F5" i="1"/>
  <c r="F4" i="1"/>
  <c r="H7" i="1" l="true"/>
  <c r="H8" i="1"/>
  <c r="H6" i="1"/>
  <c r="H9" i="1"/>
  <c r="H5" i="1"/>
  <c r="H4" i="1"/>
  <c r="H3" i="1"/>
  <c r="H2" i="1"/>
</calcChain>
</file>

<file path=xl/sharedStrings.xml><?xml version="1.0" encoding="utf-8"?>
<sst xmlns="http://schemas.openxmlformats.org/spreadsheetml/2006/main" count="68" uniqueCount="68">
  <si>
    <t>个股</t>
  </si>
  <si>
    <t>股价</t>
  </si>
  <si>
    <t>更新日期</t>
  </si>
  <si>
    <t>代码</t>
    <phoneticPr fontId="3" type="noConversion"/>
  </si>
  <si>
    <t>总股本(亿)</t>
    <phoneticPr fontId="3" type="noConversion"/>
  </si>
  <si>
    <t>总市值(亿)</t>
    <phoneticPr fontId="3" type="noConversion"/>
  </si>
  <si>
    <t>分类</t>
    <phoneticPr fontId="3" type="noConversion"/>
  </si>
  <si>
    <t>谷歌</t>
    <phoneticPr fontId="3" type="noConversion"/>
  </si>
  <si>
    <t>微软</t>
    <phoneticPr fontId="3" type="noConversion"/>
  </si>
  <si>
    <t>亚马逊</t>
    <phoneticPr fontId="3" type="noConversion"/>
  </si>
  <si>
    <t>META</t>
    <phoneticPr fontId="3" type="noConversion"/>
  </si>
  <si>
    <t>GOOG</t>
    <phoneticPr fontId="3" type="noConversion"/>
  </si>
  <si>
    <t>MSFT</t>
    <phoneticPr fontId="3" type="noConversion"/>
  </si>
  <si>
    <t>AMZN</t>
    <phoneticPr fontId="3" type="noConversion"/>
  </si>
  <si>
    <t>Meta</t>
    <phoneticPr fontId="3" type="noConversion"/>
  </si>
  <si>
    <t>扣非TTM净利润(亿)</t>
    <phoneticPr fontId="3" type="noConversion"/>
  </si>
  <si>
    <t>扣非TTM PE</t>
    <phoneticPr fontId="3" type="noConversion"/>
  </si>
  <si>
    <t>26Q2</t>
    <phoneticPr fontId="3" type="noConversion"/>
  </si>
  <si>
    <t>26Q1</t>
    <phoneticPr fontId="3" type="noConversion"/>
  </si>
  <si>
    <t>25Q4</t>
    <phoneticPr fontId="3" type="noConversion"/>
  </si>
  <si>
    <t>25Q3</t>
    <phoneticPr fontId="3" type="noConversion"/>
  </si>
  <si>
    <t>25Q2</t>
    <phoneticPr fontId="3" type="noConversion"/>
  </si>
  <si>
    <t>硬件</t>
    <phoneticPr fontId="3" type="noConversion"/>
  </si>
  <si>
    <t>英特尔</t>
    <phoneticPr fontId="3" type="noConversion"/>
  </si>
  <si>
    <t>INTC</t>
    <phoneticPr fontId="3" type="noConversion"/>
  </si>
  <si>
    <t>物理AI</t>
    <phoneticPr fontId="3" type="noConversion"/>
  </si>
  <si>
    <t>特斯拉</t>
    <phoneticPr fontId="3" type="noConversion"/>
  </si>
  <si>
    <t>TSLA</t>
    <phoneticPr fontId="3" type="noConversion"/>
  </si>
  <si>
    <t>腾讯</t>
    <phoneticPr fontId="3" type="noConversion"/>
  </si>
  <si>
    <t>00700</t>
    <phoneticPr fontId="3" type="noConversion"/>
  </si>
  <si>
    <t>09988</t>
    <phoneticPr fontId="3" type="noConversion"/>
  </si>
  <si>
    <t>阿里巴巴</t>
    <phoneticPr fontId="3" type="noConversion"/>
  </si>
  <si>
    <t>拼多多</t>
    <phoneticPr fontId="3" type="noConversion"/>
  </si>
  <si>
    <t>PDD</t>
    <phoneticPr fontId="3" type="noConversion"/>
  </si>
  <si>
    <t>北美大厂</t>
    <phoneticPr fontId="3" type="noConversion"/>
  </si>
  <si>
    <t>国内大厂</t>
    <phoneticPr fontId="3" type="noConversion"/>
  </si>
  <si>
    <t>342.37</t>
  </si>
  <si>
    <t>492.43</t>
  </si>
  <si>
    <t>267.28</t>
  </si>
  <si>
    <t>578.85</t>
  </si>
  <si>
    <t>444.0</t>
  </si>
  <si>
    <t>123.4</t>
  </si>
  <si>
    <t>89.035</t>
  </si>
  <si>
    <t>100.95</t>
  </si>
  <si>
    <t>327.51</t>
  </si>
  <si>
    <t>20260813</t>
  </si>
  <si>
    <t>443.0</t>
  </si>
  <si>
    <t>123.0</t>
  </si>
  <si>
    <t>441.0</t>
  </si>
  <si>
    <t>121.9</t>
  </si>
  <si>
    <t>343.94</t>
  </si>
  <si>
    <t>496.88</t>
  </si>
  <si>
    <t>265.13</t>
  </si>
  <si>
    <t>594.97</t>
  </si>
  <si>
    <t>440.0</t>
  </si>
  <si>
    <t>119.9</t>
  </si>
  <si>
    <t>84.17</t>
  </si>
  <si>
    <t>104.56</t>
  </si>
  <si>
    <t>339.96</t>
  </si>
  <si>
    <t>20260814</t>
  </si>
  <si>
    <t>343.54</t>
  </si>
  <si>
    <t>495.4</t>
  </si>
  <si>
    <t>262.65</t>
  </si>
  <si>
    <t>589.85</t>
  </si>
  <si>
    <t>84.79</t>
  </si>
  <si>
    <t>102.5</t>
  </si>
  <si>
    <t>342.27</t>
  </si>
  <si>
    <t>20260815</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</si>
</sst>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4">
    <numFmt numFmtId="176" formatCode="0_ "/>
    <numFmt numFmtId="177" formatCode="0.0_);[Red]\(0.0\)"/>
    <numFmt numFmtId="178" formatCode="0.00_ "/>
    <numFmt numFmtId="179" formatCode="0.00_);[Red]\(0.00\)"/>
  </numFmts>
  <fonts count="7">
    <font>
      <name val="等线"/>
      <charset val="134"/>
      <family val="2"/>
      <color theme="1"/>
      <sz val="10"/>
      <scheme val="minor"/>
    </font>
    <font>
      <name val="等线"/>
      <b val="1"/>
      <sz val="10"/>
    </font>
    <font>
      <name val="等线"/>
      <sz val="10"/>
    </font>
    <font>
      <name val="等线"/>
      <charset val="134"/>
      <family val="2"/>
      <sz val="9"/>
      <scheme val="minor"/>
    </font>
    <font>
      <name val="等线"/>
      <charset val="134"/>
      <family val="3"/>
      <b val="1"/>
      <sz val="10"/>
    </font>
    <font>
      <name val="等线"/>
      <charset val="134"/>
      <family val="3"/>
      <b val="1"/>
      <color theme="1"/>
      <sz val="10"/>
      <scheme val="minor"/>
    </font>
    <font>
      <name val="等线"/>
      <charset val="134"/>
      <family val="2"/>
      <color rgb="FFFF0000"/>
      <sz val="10"/>
      <scheme val="minor"/>
    </font>
  </fonts>
  <fills count="3">
    <fill>
      <patternFill patternType="none"/>
    </fill>
    <fill>
      <patternFill patternType="gray125"/>
    </fill>
    <fill>
      <patternFill patternType="solid">
        <fgColor rgb="FF8CDDFA"/>
        <bgColor auto="true"/>
      </patternFill>
    </fill>
  </fills>
  <borders count="1">
    <border>
      <left/>
      <right/>
      <top/>
      <bottom/>
      <diagonal/>
    </border>
  </borders>
  <cellStyleXfs count="1">
    <xf numFmtId="0" fontId="0" fillId="0" borderId="0">
      <alignment vertical="center"/>
    </xf>
  </cellStyleXfs>
  <cellXfs count="18">
    <xf numFmtId="0" fontId="0" fillId="0" borderId="0" xfId="0">
      <alignment vertical="center"/>
    </xf>
    <xf numFmtId="0" fontId="1" fillId="2" borderId="0" xfId="0" applyFont="true" applyFill="true" applyAlignment="true">
      <alignment horizontal="center" vertical="center"/>
    </xf>
    <xf numFmtId="176" fontId="2" fillId="0" borderId="0" xfId="0" applyNumberFormat="true" applyFont="true" applyAlignment="true">
      <alignment horizontal="right" vertical="center"/>
    </xf>
    <xf numFmtId="176" fontId="0" fillId="0" borderId="0" xfId="0" applyNumberFormat="true">
      <alignment vertical="center"/>
    </xf>
    <xf numFmtId="0" fontId="4" fillId="2" borderId="0" xfId="0" applyFont="true" applyFill="true" applyAlignment="true">
      <alignment horizontal="center" vertical="center"/>
    </xf>
    <xf numFmtId="49" fontId="4" fillId="2" borderId="0" xfId="0" applyNumberFormat="true" applyFont="true" applyFill="true" applyAlignment="true">
      <alignment horizontal="center" vertical="center"/>
    </xf>
    <xf numFmtId="49" fontId="0" fillId="0" borderId="0" xfId="0" applyNumberFormat="true">
      <alignment vertical="center"/>
    </xf>
    <xf numFmtId="176" fontId="4" fillId="2" borderId="0" xfId="0" applyNumberFormat="true" applyFont="true" applyFill="true" applyAlignment="true">
      <alignment horizontal="center" vertical="center"/>
    </xf>
    <xf numFmtId="0" fontId="4" fillId="0" borderId="0" xfId="0" applyFont="true">
      <alignment vertical="center"/>
    </xf>
    <xf numFmtId="0" fontId="5" fillId="0" borderId="0" xfId="0" applyFont="true" applyAlignment="true">
      <alignment horizontal="center" vertical="center"/>
    </xf>
    <xf numFmtId="177" fontId="4" fillId="2" borderId="0" xfId="0" applyNumberFormat="true" applyFont="true" applyFill="true" applyAlignment="true">
      <alignment horizontal="center" vertical="center"/>
    </xf>
    <xf numFmtId="177" fontId="0" fillId="0" borderId="0" xfId="0" applyNumberFormat="true">
      <alignment vertical="center"/>
    </xf>
    <xf numFmtId="177" fontId="6" fillId="0" borderId="0" xfId="0" applyNumberFormat="true" applyFont="true">
      <alignment vertical="center"/>
    </xf>
    <xf numFmtId="178" fontId="1" fillId="2" borderId="0" xfId="0" applyNumberFormat="true" applyFont="true" applyFill="true" applyAlignment="true">
      <alignment horizontal="center" vertical="center"/>
    </xf>
    <xf numFmtId="178" fontId="0" fillId="0" borderId="0" xfId="0" applyNumberFormat="true">
      <alignment vertical="center"/>
    </xf>
    <xf numFmtId="179" fontId="4" fillId="2" borderId="0" xfId="0" applyNumberFormat="true" applyFont="true" applyFill="true" applyAlignment="true">
      <alignment horizontal="center" vertical="center"/>
    </xf>
    <xf numFmtId="179" fontId="0" fillId="0" borderId="0" xfId="0" applyNumberFormat="true">
      <alignment vertical="center"/>
    </xf>
    <xf numFmtId="0" fontId="5" fillId="0" borderId="0" xfId="0" applyFont="true" applyAlignment="true">
      <alignment horizontal="center" vertical="center"/>
    </xf>
  </cellXfs>
  <cellStyles count="1">
    <cellStyle name="常规"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3" Target="styles.xml" Type="http://schemas.openxmlformats.org/officeDocument/2006/relationships/styles"></Relationship><Relationship Id="rId2" Target="theme/theme1.xml" Type="http://schemas.openxmlformats.org/officeDocument/2006/relationships/theme"></Relationship><Relationship Id="rId1" Target="worksheets/sheet1.xml" Type="http://schemas.openxmlformats.org/officeDocument/2006/relationships/worksheet"></Relationship><Relationship Id="rId5" Target="calcChain.xml" Type="http://schemas.openxmlformats.org/officeDocument/2006/relationships/calcChain"></Relationship><Relationship Id="rId4" Target="/xl/sharedStrings.xml" Type="http://schemas.openxmlformats.org/officeDocument/2006/relationships/sharedStrings"></Relationship></Relationships>
</file>

<file path=xl/theme/theme1.xml><?xml version="1.0" encoding="utf-8"?>
<a:theme xmlns:a="http://schemas.openxmlformats.org/drawingml/2006/main" xmlns:r="http://schemas.openxmlformats.org/officeDocument/2006/relationships"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等线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等线" panose="020F0502020204030204"/>
        <a:ea typeface=""/>
        <a:cs typeface=""/>
        <a:font script="Jpan" typeface="游明朝"/>
        <a:font script="Hang" typeface="맑은 고딕"/>
        <a:font script="Hans" typeface="等线"/>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持仓比例"/>
  <dimension ref="A1:M12"/>
  <sheetViews>
    <sheetView tabSelected="true" workbookViewId="0">
      <selection activeCell="H6" sqref="H6"/>
    </sheetView>
  </sheetViews>
  <sheetFormatPr defaultColWidth="13.64453125" defaultRowHeight="18" customHeight="true"/>
  <cols>
    <col bestFit="true" customWidth="true" max="1" min="1" width="8.8203125"/>
    <col bestFit="true" customWidth="true" max="2" min="2" width="9.05859375"/>
    <col bestFit="true" customWidth="true" max="3" min="3" style="6" width="6.5859375"/>
    <col bestFit="true" customWidth="true" max="4" min="4" style="14" width="7.46875"/>
    <col bestFit="true" customWidth="true" max="6" min="5" width="10.1171875"/>
    <col bestFit="true" customWidth="true" max="7" min="7" style="11" width="18.3515625"/>
    <col customWidth="true" max="8" min="8" style="11" width="11.64453125"/>
    <col bestFit="true" customWidth="true" max="13" min="9" style="16" width="7.05859375"/>
  </cols>
  <sheetData>
    <row r="1" spans="1:13" ht="18" customHeight="true">
      <c r="A1" s="4" t="s">
        <v>6</v>
      </c>
      <c r="B1" s="1" t="s">
        <v>0</v>
      </c>
      <c r="C1" s="5" t="s">
        <v>3</v>
      </c>
      <c r="D1" s="13" t="s">
        <v>1</v>
      </c>
      <c r="E1" s="4" t="s">
        <v>4</v>
      </c>
      <c r="F1" s="7" t="s">
        <v>5</v>
      </c>
      <c r="G1" s="10" t="s">
        <v>15</v>
      </c>
      <c r="H1" s="10" t="s">
        <v>16</v>
      </c>
      <c r="I1" s="15" t="s">
        <v>17</v>
      </c>
      <c r="J1" s="15" t="s">
        <v>18</v>
      </c>
      <c r="K1" s="15" t="s">
        <v>19</v>
      </c>
      <c r="L1" s="15" t="s">
        <v>20</v>
      </c>
      <c r="M1" s="15" t="s">
        <v>21</v>
      </c>
    </row>
    <row r="2" spans="1:13" ht="18" customHeight="true">
      <c r="A2" s="17" t="s">
        <v>34</v>
      </c>
      <c r="B2" t="s">
        <v>7</v>
      </c>
      <c r="C2" s="6" t="s">
        <v>11</v>
      </c>
      <c r="D2" s="14" t="s">
        <v>60</v>
      </c>
      <c r="E2">
        <v>122.3</v>
      </c>
      <c r="F2" s="2">
        <f t="shared" ref="F2:F3" si="0">D2*E2</f>
      </c>
      <c r="G2" s="11">
        <f>SUM(I2:L2)</f>
      </c>
      <c r="H2" s="12">
        <f>F2/G2</f>
      </c>
      <c r="I2" s="16">
        <v>407.7</v>
      </c>
      <c r="J2" s="16">
        <v>397</v>
      </c>
      <c r="K2" s="16">
        <v>359.3</v>
      </c>
      <c r="L2" s="16">
        <v>312.3</v>
      </c>
      <c r="M2" s="16">
        <v>312.5</v>
      </c>
    </row>
    <row r="3" spans="1:13" ht="18" customHeight="true">
      <c r="A3" s="17"/>
      <c r="B3" t="s">
        <v>8</v>
      </c>
      <c r="C3" s="6" t="s">
        <v>12</v>
      </c>
      <c r="D3" s="14" t="s">
        <v>61</v>
      </c>
      <c r="E3">
        <v>74.28</v>
      </c>
      <c r="F3" s="2">
        <f t="shared" si="0"/>
      </c>
      <c r="G3" s="11">
        <f>SUM(I3:L3)</f>
      </c>
      <c r="H3" s="12">
        <f t="shared" ref="H3:H10" si="1">F3/G3</f>
      </c>
      <c r="I3" s="16">
        <v>406</v>
      </c>
      <c r="J3" s="16">
        <v>384</v>
      </c>
      <c r="K3" s="16">
        <v>382.8</v>
      </c>
      <c r="L3" s="16">
        <v>379.6</v>
      </c>
      <c r="M3" s="16">
        <v>318</v>
      </c>
    </row>
    <row r="4" spans="1:13" ht="18" customHeight="true">
      <c r="A4" s="17"/>
      <c r="B4" t="s">
        <v>9</v>
      </c>
      <c r="C4" s="6" t="s">
        <v>13</v>
      </c>
      <c r="D4" s="14" t="s">
        <v>62</v>
      </c>
      <c r="E4">
        <v>107.57</v>
      </c>
      <c r="F4" s="2">
        <f t="shared" ref="F4:F9" si="2">D4*E4</f>
      </c>
      <c r="G4" s="11">
        <f>SUM(I4:L4)</f>
      </c>
      <c r="H4" s="12">
        <f t="shared" si="1"/>
      </c>
      <c r="I4" s="16">
        <v>274.60000000000002</v>
      </c>
      <c r="J4" s="16">
        <v>239</v>
      </c>
      <c r="K4" s="16">
        <v>250</v>
      </c>
      <c r="L4" s="16">
        <v>174</v>
      </c>
      <c r="M4" s="16">
        <v>192</v>
      </c>
    </row>
    <row r="5" spans="1:13" ht="18" customHeight="true">
      <c r="A5" s="17"/>
      <c r="B5" t="s">
        <v>14</v>
      </c>
      <c r="C5" s="6" t="s">
        <v>10</v>
      </c>
      <c r="D5" s="14" t="s">
        <v>63</v>
      </c>
      <c r="E5">
        <v>25.38</v>
      </c>
      <c r="F5" s="2">
        <f t="shared" si="2"/>
      </c>
      <c r="G5" s="11">
        <f>SUM(I5:L5)</f>
      </c>
      <c r="H5" s="12">
        <f t="shared" si="1"/>
      </c>
      <c r="I5" s="16">
        <v>187.8</v>
      </c>
      <c r="J5" s="16">
        <v>228.7</v>
      </c>
      <c r="K5" s="16">
        <v>247.5</v>
      </c>
      <c r="L5" s="16">
        <v>205.4</v>
      </c>
      <c r="M5" s="16">
        <v>204.4</v>
      </c>
    </row>
    <row r="6" spans="1:13" ht="18" customHeight="true">
      <c r="A6" s="17" t="s">
        <v>35</v>
      </c>
      <c r="B6" t="s">
        <v>28</v>
      </c>
      <c r="C6" s="6" t="s">
        <v>29</v>
      </c>
      <c r="D6" s="14" t="s">
        <v>54</v>
      </c>
      <c r="E6">
        <v>90.93</v>
      </c>
      <c r="F6" s="2">
        <f t="shared" si="2"/>
      </c>
      <c r="G6" s="11">
        <f>SUM(I6:L6)</f>
      </c>
      <c r="H6" s="12">
        <f t="shared" si="1"/>
      </c>
      <c r="I6" s="16">
        <v>684.15</v>
      </c>
      <c r="J6" s="16">
        <v>679.05</v>
      </c>
      <c r="K6" s="16">
        <v>647</v>
      </c>
      <c r="L6" s="16">
        <v>705.51</v>
      </c>
      <c r="M6" s="16">
        <v>630.52</v>
      </c>
    </row>
    <row r="7" spans="1:13" ht="18" customHeight="true">
      <c r="A7" s="17"/>
      <c r="B7" t="s">
        <v>31</v>
      </c>
      <c r="C7" s="6" t="s">
        <v>30</v>
      </c>
      <c r="D7" s="14" t="s">
        <v>55</v>
      </c>
      <c r="E7">
        <v>191.77</v>
      </c>
      <c r="F7" s="2">
        <f t="shared" si="2"/>
      </c>
      <c r="G7" s="11">
        <f t="shared" ref="G6:G8" si="3">SUM(J7:M7)</f>
      </c>
      <c r="H7" s="12">
        <f t="shared" si="1"/>
      </c>
      <c r="J7" s="16">
        <v>0.86</v>
      </c>
      <c r="K7" s="16">
        <v>167.1</v>
      </c>
      <c r="L7" s="16">
        <v>103.52</v>
      </c>
      <c r="M7" s="16">
        <v>335.1</v>
      </c>
    </row>
    <row r="8" spans="1:13" ht="18" customHeight="true">
      <c r="A8" s="17"/>
      <c r="B8" t="s">
        <v>32</v>
      </c>
      <c r="C8" s="6" t="s">
        <v>33</v>
      </c>
      <c r="D8" s="14" t="s">
        <v>64</v>
      </c>
      <c r="E8">
        <v>14.23</v>
      </c>
      <c r="F8" s="2">
        <f t="shared" si="2"/>
      </c>
      <c r="G8" s="11">
        <f t="shared" si="3"/>
      </c>
      <c r="H8" s="12">
        <f t="shared" si="1"/>
      </c>
      <c r="J8" s="16">
        <v>20</v>
      </c>
      <c r="K8" s="16">
        <v>37.6</v>
      </c>
      <c r="L8" s="16">
        <v>44.08</v>
      </c>
      <c r="M8" s="16">
        <v>45.66</v>
      </c>
    </row>
    <row r="9" spans="1:13" ht="18" customHeight="true">
      <c r="A9" s="9" t="s">
        <v>22</v>
      </c>
      <c r="B9" t="s">
        <v>23</v>
      </c>
      <c r="C9" s="6" t="s">
        <v>24</v>
      </c>
      <c r="D9" s="14" t="s">
        <v>65</v>
      </c>
      <c r="E9">
        <v>50.26</v>
      </c>
      <c r="F9" s="2">
        <f t="shared" si="2"/>
      </c>
      <c r="G9" s="11">
        <f>SUM(I9:L9)</f>
      </c>
      <c r="H9" s="12">
        <f t="shared" si="1"/>
      </c>
      <c r="I9" s="16">
        <v>27.7</v>
      </c>
      <c r="J9" s="16">
        <v>16.7</v>
      </c>
      <c r="K9" s="16">
        <v>12.1</v>
      </c>
      <c r="L9" s="16">
        <v>15.3</v>
      </c>
      <c r="M9" s="16">
        <v>-3</v>
      </c>
    </row>
    <row r="10" spans="1:13" ht="18" customHeight="true">
      <c r="A10" s="9" t="s">
        <v>25</v>
      </c>
      <c r="B10" t="s">
        <v>26</v>
      </c>
      <c r="C10" s="6" t="s">
        <v>27</v>
      </c>
      <c r="D10" s="14" t="s">
        <v>66</v>
      </c>
      <c r="E10">
        <v>39.5</v>
      </c>
      <c r="F10" s="2">
        <f t="shared" ref="F10" si="4">D10*E10</f>
      </c>
      <c r="G10" s="11">
        <f>SUM(I10:L10)</f>
      </c>
      <c r="H10" s="12">
        <f t="shared" si="1"/>
      </c>
      <c r="I10" s="16">
        <v>3.98</v>
      </c>
      <c r="J10" s="16">
        <v>9</v>
      </c>
      <c r="K10" s="16">
        <v>14.09</v>
      </c>
      <c r="L10" s="16">
        <v>16.239999999999998</v>
      </c>
      <c r="M10" s="16">
        <v>16.8</v>
      </c>
    </row>
    <row r="11" spans="1:13" ht="18" customHeight="true">
      <c r="F11" s="2"/>
    </row>
    <row r="12" spans="1:13" ht="12.6">
      <c r="A12" s="8" t="s">
        <v>2</v>
      </c>
      <c r="B12" t="s">
        <v>67</v>
      </c>
      <c r="F12" s="3"/>
    </row>
  </sheetData>
  <mergeCells count="2">
    <mergeCell ref="A2:A5"/>
    <mergeCell ref="A6:A8"/>
  </mergeCells>
  <phoneticPr fontId="3" type="noConversion"/>
  <pageMargins left="0.7" right="0.7" top="0.75" bottom="0.75" header="0.3" footer="0.3"/>
  <pageSetup r:id="rId1" orientation="portrait" paperSize="9"/>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股票扣非ttm估值</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created xsi:type="dcterms:W3CDTF">2026-05-20T23:25:25Z</dcterms:created>
  <dcterms:modified xsi:type="dcterms:W3CDTF">2026-08-13T05:09:17Z</dcterms:modified>
</cp:coreProperties>
</file>