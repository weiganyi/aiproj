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download\"/>
    </mc:Choice>
  </mc:AlternateContent>
  <bookViews>
    <workbookView xWindow="4020" yWindow="0" windowWidth="19020" windowHeight="12336"/>
  </bookViews>
  <sheets>
    <sheet name="股票扣非ttm估值" sheetId="1" r:id="rId1"/>
  </sheet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7" i="1" l="true"/>
  <c r="G6" i="1"/>
  <c r="G4" i="1"/>
  <c r="G5" i="1"/>
  <c r="G3" i="1"/>
  <c r="G8" i="1"/>
  <c r="F8" i="1"/>
  <c r="F7" i="1"/>
  <c r="F6" i="1"/>
  <c r="G10" i="1"/>
  <c r="F10" i="1"/>
  <c r="G9" i="1"/>
  <c r="F9" i="1"/>
  <c r="G2" i="1"/>
  <c r="F3" i="1"/>
  <c r="F2" i="1"/>
  <c r="F5" i="1"/>
  <c r="F4" i="1"/>
  <c r="H10" i="1" l="true"/>
  <c r="H7" i="1"/>
  <c r="H8" i="1"/>
  <c r="H6" i="1"/>
  <c r="H9" i="1"/>
  <c r="H5" i="1"/>
  <c r="H4" i="1"/>
  <c r="H3" i="1"/>
  <c r="H2" i="1"/>
</calcChain>
</file>

<file path=xl/sharedStrings.xml><?xml version="1.0" encoding="utf-8"?>
<sst xmlns="http://schemas.openxmlformats.org/spreadsheetml/2006/main" count="447" uniqueCount="447">
  <si>
    <t>个股</t>
  </si>
  <si>
    <t>股价</t>
  </si>
  <si>
    <t>更新日期</t>
  </si>
  <si>
    <t>代码</t>
    <phoneticPr fontId="3" type="noConversion"/>
  </si>
  <si>
    <t>总股本(亿)</t>
    <phoneticPr fontId="3" type="noConversion"/>
  </si>
  <si>
    <t>总市值(亿)</t>
    <phoneticPr fontId="3" type="noConversion"/>
  </si>
  <si>
    <t>分类</t>
    <phoneticPr fontId="3" type="noConversion"/>
  </si>
  <si>
    <t>谷歌</t>
    <phoneticPr fontId="3" type="noConversion"/>
  </si>
  <si>
    <t>微软</t>
    <phoneticPr fontId="3" type="noConversion"/>
  </si>
  <si>
    <t>亚马逊</t>
    <phoneticPr fontId="3" type="noConversion"/>
  </si>
  <si>
    <t>META</t>
    <phoneticPr fontId="3" type="noConversion"/>
  </si>
  <si>
    <t>GOOG</t>
    <phoneticPr fontId="3" type="noConversion"/>
  </si>
  <si>
    <t>MSFT</t>
    <phoneticPr fontId="3" type="noConversion"/>
  </si>
  <si>
    <t>AMZN</t>
    <phoneticPr fontId="3" type="noConversion"/>
  </si>
  <si>
    <t>Meta</t>
    <phoneticPr fontId="3" type="noConversion"/>
  </si>
  <si>
    <t>扣非TTM净利润(亿)</t>
    <phoneticPr fontId="3" type="noConversion"/>
  </si>
  <si>
    <t>扣非TTM PE</t>
    <phoneticPr fontId="3" type="noConversion"/>
  </si>
  <si>
    <t>26Q2</t>
    <phoneticPr fontId="3" type="noConversion"/>
  </si>
  <si>
    <t>26Q1</t>
    <phoneticPr fontId="3" type="noConversion"/>
  </si>
  <si>
    <t>25Q4</t>
    <phoneticPr fontId="3" type="noConversion"/>
  </si>
  <si>
    <t>25Q3</t>
    <phoneticPr fontId="3" type="noConversion"/>
  </si>
  <si>
    <t>25Q2</t>
    <phoneticPr fontId="3" type="noConversion"/>
  </si>
  <si>
    <t>硬件</t>
    <phoneticPr fontId="3" type="noConversion"/>
  </si>
  <si>
    <t>英特尔</t>
    <phoneticPr fontId="3" type="noConversion"/>
  </si>
  <si>
    <t>INTC</t>
    <phoneticPr fontId="3" type="noConversion"/>
  </si>
  <si>
    <t>物理AI</t>
    <phoneticPr fontId="3" type="noConversion"/>
  </si>
  <si>
    <t>特斯拉</t>
    <phoneticPr fontId="3" type="noConversion"/>
  </si>
  <si>
    <t>TSLA</t>
    <phoneticPr fontId="3" type="noConversion"/>
  </si>
  <si>
    <t>腾讯</t>
    <phoneticPr fontId="3" type="noConversion"/>
  </si>
  <si>
    <t>00700</t>
    <phoneticPr fontId="3" type="noConversion"/>
  </si>
  <si>
    <t>09988</t>
    <phoneticPr fontId="3" type="noConversion"/>
  </si>
  <si>
    <t>阿里巴巴</t>
    <phoneticPr fontId="3" type="noConversion"/>
  </si>
  <si>
    <t>拼多多</t>
    <phoneticPr fontId="3" type="noConversion"/>
  </si>
  <si>
    <t>PDD</t>
    <phoneticPr fontId="3" type="noConversion"/>
  </si>
  <si>
    <t>北美大厂</t>
    <phoneticPr fontId="3" type="noConversion"/>
  </si>
  <si>
    <t>国内大厂</t>
    <phoneticPr fontId="3" type="noConversion"/>
  </si>
  <si>
    <t>341.7</t>
  </si>
  <si>
    <t>484.31</t>
  </si>
  <si>
    <t>265.84</t>
  </si>
  <si>
    <t>546.03</t>
  </si>
  <si>
    <t>451.4</t>
  </si>
  <si>
    <t>126.2</t>
  </si>
  <si>
    <t>90.2</t>
  </si>
  <si>
    <t>92.8</t>
  </si>
  <si>
    <t>351.12</t>
  </si>
  <si>
    <t>20260820</t>
  </si>
  <si>
    <t>338.2</t>
  </si>
  <si>
    <t>481.15</t>
  </si>
  <si>
    <t>260.11</t>
  </si>
  <si>
    <t>545.83</t>
  </si>
  <si>
    <t>447.6</t>
  </si>
  <si>
    <t>122.3</t>
  </si>
  <si>
    <t>89.52</t>
  </si>
  <si>
    <t>92.13</t>
  </si>
  <si>
    <t>345.13</t>
  </si>
  <si>
    <t>20260821</t>
  </si>
  <si>
    <t>457.0</t>
  </si>
  <si>
    <t>123.0</t>
  </si>
  <si>
    <t>341.75</t>
  </si>
  <si>
    <t>483.24</t>
  </si>
  <si>
    <t>258.63</t>
  </si>
  <si>
    <t>549.9</t>
  </si>
  <si>
    <t>88.38</t>
  </si>
  <si>
    <t>90.07</t>
  </si>
  <si>
    <t>362.86</t>
  </si>
  <si>
    <t>20260822</t>
  </si>
  <si>
    <t>445.6</t>
  </si>
  <si>
    <t>112.0</t>
  </si>
  <si>
    <t>20260824</t>
  </si>
  <si>
    <t>440.0</t>
  </si>
  <si>
    <t>112.5</t>
  </si>
  <si>
    <t>344.59</t>
  </si>
  <si>
    <t>487.31</t>
  </si>
  <si>
    <t>262.07</t>
  </si>
  <si>
    <t>559.02</t>
  </si>
  <si>
    <t>438.6</t>
  </si>
  <si>
    <t>113.3</t>
  </si>
  <si>
    <t>87.07</t>
  </si>
  <si>
    <t>87.26</t>
  </si>
  <si>
    <t>348.95</t>
  </si>
  <si>
    <t>20260825</t>
  </si>
  <si>
    <t>339.1</t>
  </si>
  <si>
    <t>496.37</t>
  </si>
  <si>
    <t>260.28</t>
  </si>
  <si>
    <t>576.14</t>
  </si>
  <si>
    <t>448.8</t>
  </si>
  <si>
    <t>115.9</t>
  </si>
  <si>
    <t>86.74</t>
  </si>
  <si>
    <t>88.24</t>
  </si>
  <si>
    <t>345.82</t>
  </si>
  <si>
    <t>20260827</t>
  </si>
  <si>
    <t>447.4</t>
  </si>
  <si>
    <t>116.4</t>
  </si>
  <si>
    <t>342.88</t>
  </si>
  <si>
    <t>513.53</t>
  </si>
  <si>
    <t>266.43</t>
  </si>
  <si>
    <t>578.02</t>
  </si>
  <si>
    <t>455.2</t>
  </si>
  <si>
    <t>113.9</t>
  </si>
  <si>
    <t>85.69</t>
  </si>
  <si>
    <t>89.47</t>
  </si>
  <si>
    <t>348.75</t>
  </si>
  <si>
    <t>20260829</t>
  </si>
  <si>
    <t>335.41</t>
  </si>
  <si>
    <t>507.29</t>
  </si>
  <si>
    <t>259.77</t>
  </si>
  <si>
    <t>572.34</t>
  </si>
  <si>
    <t>442.8</t>
  </si>
  <si>
    <t>110.2</t>
  </si>
  <si>
    <t>84.0</t>
  </si>
  <si>
    <t>89.51</t>
  </si>
  <si>
    <t>367.95</t>
  </si>
  <si>
    <t>20260901</t>
  </si>
  <si>
    <t>332.03</t>
  </si>
  <si>
    <t>501.02</t>
  </si>
  <si>
    <t>254.92</t>
  </si>
  <si>
    <t>578.54</t>
  </si>
  <si>
    <t>438.0</t>
  </si>
  <si>
    <t>108.5</t>
  </si>
  <si>
    <t>83.17</t>
  </si>
  <si>
    <t>88.97</t>
  </si>
  <si>
    <t>356.09</t>
  </si>
  <si>
    <t>20260902</t>
  </si>
  <si>
    <t>333.78</t>
  </si>
  <si>
    <t>496.82</t>
  </si>
  <si>
    <t>254.98</t>
  </si>
  <si>
    <t>592.85</t>
  </si>
  <si>
    <t>433.0</t>
  </si>
  <si>
    <t>107.5</t>
  </si>
  <si>
    <t>82.25</t>
  </si>
  <si>
    <t>90.05</t>
  </si>
  <si>
    <t>357.01</t>
  </si>
  <si>
    <t>20260903</t>
  </si>
  <si>
    <t>335.31</t>
  </si>
  <si>
    <t>499.7</t>
  </si>
  <si>
    <t>258.51</t>
  </si>
  <si>
    <t>616.77</t>
  </si>
  <si>
    <t>110.1</t>
  </si>
  <si>
    <t>82.21</t>
  </si>
  <si>
    <t>95.8</t>
  </si>
  <si>
    <t>354.08</t>
  </si>
  <si>
    <t>20260905</t>
  </si>
  <si>
    <t>438.4</t>
  </si>
  <si>
    <t>109.6</t>
  </si>
  <si>
    <t>20260907</t>
  </si>
  <si>
    <t>436.8</t>
  </si>
  <si>
    <t>108.7</t>
  </si>
  <si>
    <t>20260908</t>
  </si>
  <si>
    <t>335.1</t>
  </si>
  <si>
    <t>492.09</t>
  </si>
  <si>
    <t>257.05</t>
  </si>
  <si>
    <t>616.13</t>
  </si>
  <si>
    <t>435.4</t>
  </si>
  <si>
    <t>109.5</t>
  </si>
  <si>
    <t>79.415</t>
  </si>
  <si>
    <t>104.6499</t>
  </si>
  <si>
    <t>367.42</t>
  </si>
  <si>
    <t>20260909</t>
  </si>
  <si>
    <t>335.38</t>
  </si>
  <si>
    <t>493.95</t>
  </si>
  <si>
    <t>256.97</t>
  </si>
  <si>
    <t>613.48</t>
  </si>
  <si>
    <t>434.4</t>
  </si>
  <si>
    <t>79.75</t>
  </si>
  <si>
    <t>104.47</t>
  </si>
  <si>
    <t>368.16</t>
  </si>
  <si>
    <t>327.32</t>
  </si>
  <si>
    <t>491.09</t>
  </si>
  <si>
    <t>252.49</t>
  </si>
  <si>
    <t>645.31</t>
  </si>
  <si>
    <t>434.0</t>
  </si>
  <si>
    <t>109.8</t>
  </si>
  <si>
    <t>78.75</t>
  </si>
  <si>
    <t>105.28</t>
  </si>
  <si>
    <t>370.62</t>
  </si>
  <si>
    <t>328.38</t>
  </si>
  <si>
    <t>491.65</t>
  </si>
  <si>
    <t>252.4</t>
  </si>
  <si>
    <t>653.69</t>
  </si>
  <si>
    <t>426.2</t>
  </si>
  <si>
    <t>106.4</t>
  </si>
  <si>
    <t>78.61</t>
  </si>
  <si>
    <t>106.24</t>
  </si>
  <si>
    <t>367.81</t>
  </si>
  <si>
    <t>20260910</t>
  </si>
  <si>
    <t>330.39</t>
  </si>
  <si>
    <t>492.44</t>
  </si>
  <si>
    <t>251.89</t>
  </si>
  <si>
    <t>644.38</t>
  </si>
  <si>
    <t>429.6</t>
  </si>
  <si>
    <t>107.4</t>
  </si>
  <si>
    <t>77.84</t>
  </si>
  <si>
    <t>100.32</t>
  </si>
  <si>
    <t>363.56</t>
  </si>
  <si>
    <t>20260911</t>
  </si>
  <si>
    <t>335.45</t>
  </si>
  <si>
    <t>495.63</t>
  </si>
  <si>
    <t>256.78</t>
  </si>
  <si>
    <t>648.03</t>
  </si>
  <si>
    <t>428.4</t>
  </si>
  <si>
    <t>77.81</t>
  </si>
  <si>
    <t>102.94</t>
  </si>
  <si>
    <t>365.44</t>
  </si>
  <si>
    <t>20260913</t>
  </si>
  <si>
    <t>431.0</t>
  </si>
  <si>
    <t>105.7</t>
  </si>
  <si>
    <t>20260914</t>
  </si>
  <si>
    <t>345.71</t>
  </si>
  <si>
    <t>505.41</t>
  </si>
  <si>
    <t>253.54</t>
  </si>
  <si>
    <t>665.6</t>
  </si>
  <si>
    <t>441.0</t>
  </si>
  <si>
    <t>107.7</t>
  </si>
  <si>
    <t>79.38</t>
  </si>
  <si>
    <t>97.19</t>
  </si>
  <si>
    <t>358.97</t>
  </si>
  <si>
    <t>20260915</t>
  </si>
  <si>
    <t>440.6</t>
  </si>
  <si>
    <t>341.43</t>
  </si>
  <si>
    <t>497.12</t>
  </si>
  <si>
    <t>248.42</t>
  </si>
  <si>
    <t>670.24</t>
  </si>
  <si>
    <t>445.0</t>
  </si>
  <si>
    <t>106.5</t>
  </si>
  <si>
    <t>78.08</t>
  </si>
  <si>
    <t>97.14</t>
  </si>
  <si>
    <t>356.58</t>
  </si>
  <si>
    <t>20260916</t>
  </si>
  <si>
    <t>438.8</t>
  </si>
  <si>
    <t>107.0</t>
  </si>
  <si>
    <t>434.8</t>
  </si>
  <si>
    <t>106.7</t>
  </si>
  <si>
    <t>433.4</t>
  </si>
  <si>
    <t>106.2</t>
  </si>
  <si>
    <t>343.68</t>
  </si>
  <si>
    <t>497.75</t>
  </si>
  <si>
    <t>251.19</t>
  </si>
  <si>
    <t>682.31</t>
  </si>
  <si>
    <t>425.8</t>
  </si>
  <si>
    <t>108.4</t>
  </si>
  <si>
    <t>77.73</t>
  </si>
  <si>
    <t>108.8</t>
  </si>
  <si>
    <t>366.2</t>
  </si>
  <si>
    <t>20260918</t>
  </si>
  <si>
    <t>419.0</t>
  </si>
  <si>
    <t>109.3</t>
  </si>
  <si>
    <t>352.1075</t>
  </si>
  <si>
    <t>493.45</t>
  </si>
  <si>
    <t>252.69</t>
  </si>
  <si>
    <t>672.99</t>
  </si>
  <si>
    <t>78.59</t>
  </si>
  <si>
    <t>109.65</t>
  </si>
  <si>
    <t>369.21</t>
  </si>
  <si>
    <t>344.41</t>
  </si>
  <si>
    <t>493.78</t>
  </si>
  <si>
    <t>253.71</t>
  </si>
  <si>
    <t>665.75</t>
  </si>
  <si>
    <t>78.9</t>
  </si>
  <si>
    <t>108.6</t>
  </si>
  <si>
    <t>364.27</t>
  </si>
  <si>
    <t>20260919</t>
  </si>
  <si>
    <t>427.6</t>
  </si>
  <si>
    <t>111.2</t>
  </si>
  <si>
    <t>20260921</t>
  </si>
  <si>
    <t>352.56</t>
  </si>
  <si>
    <t>493.41</t>
  </si>
  <si>
    <t>255.75</t>
  </si>
  <si>
    <t>710.85</t>
  </si>
  <si>
    <t>430.0</t>
  </si>
  <si>
    <t>112.6</t>
  </si>
  <si>
    <t>78.405</t>
  </si>
  <si>
    <t>120.7</t>
  </si>
  <si>
    <t>375.5667</t>
  </si>
  <si>
    <t>350.87</t>
  </si>
  <si>
    <t>501.61</t>
  </si>
  <si>
    <t>258.45</t>
  </si>
  <si>
    <t>741.245</t>
  </si>
  <si>
    <t>451.6</t>
  </si>
  <si>
    <t>114.8</t>
  </si>
  <si>
    <t>79.295</t>
  </si>
  <si>
    <t>121.78</t>
  </si>
  <si>
    <t>375.3</t>
  </si>
  <si>
    <t>20260922</t>
  </si>
  <si>
    <t>347.41</t>
  </si>
  <si>
    <t>498.0</t>
  </si>
  <si>
    <t>736.595</t>
  </si>
  <si>
    <t>80.35</t>
  </si>
  <si>
    <t>123.86</t>
  </si>
  <si>
    <t>378.9</t>
  </si>
  <si>
    <t>20260923</t>
  </si>
  <si>
    <t>334.261</t>
  </si>
  <si>
    <t>494.75</t>
  </si>
  <si>
    <t>246.155</t>
  </si>
  <si>
    <t>764.4899</t>
  </si>
  <si>
    <t>110.0</t>
  </si>
  <si>
    <t>78.1</t>
  </si>
  <si>
    <t>122.52</t>
  </si>
  <si>
    <t>376.42</t>
  </si>
  <si>
    <t>20260924</t>
  </si>
  <si>
    <t>339.01</t>
  </si>
  <si>
    <t>497.93</t>
  </si>
  <si>
    <t>249.38</t>
  </si>
  <si>
    <t>777.59</t>
  </si>
  <si>
    <t>420.0</t>
  </si>
  <si>
    <t>106.0</t>
  </si>
  <si>
    <t>78.2</t>
  </si>
  <si>
    <t>127.39</t>
  </si>
  <si>
    <t>377.94</t>
  </si>
  <si>
    <t>20260925</t>
  </si>
  <si>
    <t>341.08</t>
  </si>
  <si>
    <t>516.17</t>
  </si>
  <si>
    <t>249.67</t>
  </si>
  <si>
    <t>751.66</t>
  </si>
  <si>
    <t>436.6</t>
  </si>
  <si>
    <t>77.57</t>
  </si>
  <si>
    <t>372.11</t>
  </si>
  <si>
    <t>20260926</t>
  </si>
  <si>
    <t>337.32</t>
  </si>
  <si>
    <t>508.96</t>
  </si>
  <si>
    <t>246.67</t>
  </si>
  <si>
    <t>738.79</t>
  </si>
  <si>
    <t>106.6</t>
  </si>
  <si>
    <t>77.5</t>
  </si>
  <si>
    <t>115.93</t>
  </si>
  <si>
    <t>352.84</t>
  </si>
  <si>
    <t>20260930</t>
  </si>
  <si>
    <t>340.74</t>
  </si>
  <si>
    <t>512.9</t>
  </si>
  <si>
    <t>249.15</t>
  </si>
  <si>
    <t>725.18</t>
  </si>
  <si>
    <t>77.94</t>
  </si>
  <si>
    <t>120.23</t>
  </si>
  <si>
    <t>354.81</t>
  </si>
  <si>
    <t>20261001</t>
  </si>
  <si>
    <t>344.83</t>
  </si>
  <si>
    <t>533.085</t>
  </si>
  <si>
    <t>255.29</t>
  </si>
  <si>
    <t>741.975</t>
  </si>
  <si>
    <t>428.2</t>
  </si>
  <si>
    <t>108.2</t>
  </si>
  <si>
    <t>77.875</t>
  </si>
  <si>
    <t>114.3507</t>
  </si>
  <si>
    <t>380.41</t>
  </si>
  <si>
    <t>20261006</t>
  </si>
  <si>
    <t>347.37</t>
  </si>
  <si>
    <t>529.76</t>
  </si>
  <si>
    <t>259.92</t>
  </si>
  <si>
    <t>721.31</t>
  </si>
  <si>
    <t>411.4</t>
  </si>
  <si>
    <t>104.3</t>
  </si>
  <si>
    <t>78.5</t>
  </si>
  <si>
    <t>113.12</t>
  </si>
  <si>
    <t>377.81</t>
  </si>
  <si>
    <t>20261008</t>
  </si>
  <si>
    <t>347.86</t>
  </si>
  <si>
    <t>535.07</t>
  </si>
  <si>
    <t>262.43</t>
  </si>
  <si>
    <t>718.67</t>
  </si>
  <si>
    <t>81.35</t>
  </si>
  <si>
    <t>104.7</t>
  </si>
  <si>
    <t>382.7</t>
  </si>
  <si>
    <t>20261012</t>
  </si>
  <si>
    <t>348.97</t>
  </si>
  <si>
    <t>541.15</t>
  </si>
  <si>
    <t>259.53</t>
  </si>
  <si>
    <t>742.96</t>
  </si>
  <si>
    <t>80.92</t>
  </si>
  <si>
    <t>101.35</t>
  </si>
  <si>
    <t>378.03</t>
  </si>
  <si>
    <t>20261013</t>
  </si>
  <si>
    <t>352.325</t>
  </si>
  <si>
    <t>545.97</t>
  </si>
  <si>
    <t>260.71</t>
  </si>
  <si>
    <t>762.445</t>
  </si>
  <si>
    <t>425.2</t>
  </si>
  <si>
    <t>107.2</t>
  </si>
  <si>
    <t>100.255</t>
  </si>
  <si>
    <t>376.54</t>
  </si>
  <si>
    <t>349.52</t>
  </si>
  <si>
    <t>543.45</t>
  </si>
  <si>
    <t>258.58</t>
  </si>
  <si>
    <t>762.5</t>
  </si>
  <si>
    <t>426.0</t>
  </si>
  <si>
    <t>81.96</t>
  </si>
  <si>
    <t>102.81</t>
  </si>
  <si>
    <t>375.23</t>
  </si>
  <si>
    <t>20261014</t>
  </si>
  <si>
    <t>343.65</t>
  </si>
  <si>
    <t>533.69</t>
  </si>
  <si>
    <t>254.08</t>
  </si>
  <si>
    <t>737.54</t>
  </si>
  <si>
    <t>423.4</t>
  </si>
  <si>
    <t>110.5</t>
  </si>
  <si>
    <t>81.45</t>
  </si>
  <si>
    <t>98.12</t>
  </si>
  <si>
    <t>367.16</t>
  </si>
  <si>
    <t>20261015</t>
  </si>
  <si>
    <t>420.6</t>
  </si>
  <si>
    <t>418.6</t>
  </si>
  <si>
    <t>105.8</t>
  </si>
  <si>
    <t>343.665</t>
  </si>
  <si>
    <t>537.14</t>
  </si>
  <si>
    <t>250.03</t>
  </si>
  <si>
    <t>731.86</t>
  </si>
  <si>
    <t>417.8</t>
  </si>
  <si>
    <t>82.51</t>
  </si>
  <si>
    <t>93.165</t>
  </si>
  <si>
    <t>359.6</t>
  </si>
  <si>
    <t>344.91</t>
  </si>
  <si>
    <t>539.44</t>
  </si>
  <si>
    <t>254.76</t>
  </si>
  <si>
    <t>736.72</t>
  </si>
  <si>
    <t>82.42</t>
  </si>
  <si>
    <t>95.37</t>
  </si>
  <si>
    <t>362.44</t>
  </si>
  <si>
    <t>20261016</t>
  </si>
  <si>
    <t>336.91</t>
  </si>
  <si>
    <t>529.05</t>
  </si>
  <si>
    <t>250.0</t>
  </si>
  <si>
    <t>709.325</t>
  </si>
  <si>
    <t>80.97</t>
  </si>
  <si>
    <t>89.85</t>
  </si>
  <si>
    <t>354.72</t>
  </si>
  <si>
    <t>20261017</t>
  </si>
  <si>
    <t>20261019</t>
  </si>
  <si>
    <t>340.16</t>
  </si>
  <si>
    <t>533.52</t>
  </si>
  <si>
    <t>262.45</t>
  </si>
  <si>
    <t>705.44</t>
  </si>
  <si>
    <t>409.8</t>
  </si>
  <si>
    <t>105.3</t>
  </si>
  <si>
    <t>81.39</t>
  </si>
  <si>
    <t>92.03</t>
  </si>
  <si>
    <t>368.06</t>
  </si>
  <si>
    <t>20261020</t>
  </si>
  <si>
    <t>320.76</t>
  </si>
  <si>
    <t>521.08</t>
  </si>
  <si>
    <t>250.38</t>
  </si>
  <si>
    <t>648.85</t>
  </si>
  <si>
    <t>375.0</t>
  </si>
  <si>
    <t>98.0</t>
  </si>
  <si>
    <t>79.17</t>
  </si>
  <si>
    <t>85.49</t>
  </si>
  <si>
    <t>374.58</t>
  </si>
  <si>
    <t>20261023</t>
  </si>
  <si>
    <t>381.8</t>
  </si>
  <si>
    <t>98.5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</si>
</sst>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76" formatCode="0_ "/>
    <numFmt numFmtId="177" formatCode="0.0_);[Red]\(0.0\)"/>
    <numFmt numFmtId="178" formatCode="0.00_ "/>
    <numFmt numFmtId="179" formatCode="0.00_);[Red]\(0.00\)"/>
  </numFmts>
  <fonts count="7">
    <font>
      <name val="等线"/>
      <charset val="134"/>
      <family val="2"/>
      <color theme="1"/>
      <sz val="10"/>
      <scheme val="minor"/>
    </font>
    <font>
      <name val="等线"/>
      <b val="1"/>
      <sz val="10"/>
    </font>
    <font>
      <name val="等线"/>
      <sz val="10"/>
    </font>
    <font>
      <name val="等线"/>
      <charset val="134"/>
      <family val="2"/>
      <sz val="9"/>
      <scheme val="minor"/>
    </font>
    <font>
      <name val="等线"/>
      <charset val="134"/>
      <family val="3"/>
      <b val="1"/>
      <sz val="10"/>
    </font>
    <font>
      <name val="等线"/>
      <charset val="134"/>
      <family val="3"/>
      <b val="1"/>
      <color theme="1"/>
      <sz val="10"/>
      <scheme val="minor"/>
    </font>
    <font>
      <name val="等线"/>
      <charset val="134"/>
      <family val="2"/>
      <color rgb="FFFF0000"/>
      <sz val="10"/>
      <scheme val="minor"/>
    </font>
  </fonts>
  <fills count="3">
    <fill>
      <patternFill patternType="none"/>
    </fill>
    <fill>
      <patternFill patternType="gray125"/>
    </fill>
    <fill>
      <patternFill patternType="solid">
        <fgColor rgb="FF8CDDFA"/>
        <bgColor auto="true"/>
      </patternFill>
    </fill>
  </fills>
  <borders count="1">
    <border>
      <left/>
      <right/>
      <top/>
      <bottom/>
      <diagonal/>
    </border>
  </borders>
  <cellStyleXfs count="1">
    <xf numFmtId="0" fontId="0" fillId="0" borderId="0">
      <alignment vertical="center"/>
    </xf>
  </cellStyleXfs>
  <cellXfs count="18">
    <xf numFmtId="0" fontId="0" fillId="0" borderId="0" xfId="0">
      <alignment vertical="center"/>
    </xf>
    <xf numFmtId="0" fontId="1" fillId="2" borderId="0" xfId="0" applyFont="true" applyFill="true" applyAlignment="true">
      <alignment horizontal="center" vertical="center"/>
    </xf>
    <xf numFmtId="176" fontId="2" fillId="0" borderId="0" xfId="0" applyNumberFormat="true" applyFont="true" applyAlignment="true">
      <alignment horizontal="right" vertical="center"/>
    </xf>
    <xf numFmtId="176" fontId="0" fillId="0" borderId="0" xfId="0" applyNumberFormat="true">
      <alignment vertical="center"/>
    </xf>
    <xf numFmtId="0" fontId="4" fillId="2" borderId="0" xfId="0" applyFont="true" applyFill="true" applyAlignment="true">
      <alignment horizontal="center" vertical="center"/>
    </xf>
    <xf numFmtId="49" fontId="4" fillId="2" borderId="0" xfId="0" applyNumberFormat="true" applyFont="true" applyFill="true" applyAlignment="true">
      <alignment horizontal="center" vertical="center"/>
    </xf>
    <xf numFmtId="49" fontId="0" fillId="0" borderId="0" xfId="0" applyNumberFormat="true">
      <alignment vertical="center"/>
    </xf>
    <xf numFmtId="176" fontId="4" fillId="2" borderId="0" xfId="0" applyNumberFormat="true" applyFont="true" applyFill="true" applyAlignment="true">
      <alignment horizontal="center" vertical="center"/>
    </xf>
    <xf numFmtId="0" fontId="4" fillId="0" borderId="0" xfId="0" applyFont="true">
      <alignment vertical="center"/>
    </xf>
    <xf numFmtId="0" fontId="5" fillId="0" borderId="0" xfId="0" applyFont="true" applyAlignment="true">
      <alignment horizontal="center" vertical="center"/>
    </xf>
    <xf numFmtId="177" fontId="4" fillId="2" borderId="0" xfId="0" applyNumberFormat="true" applyFont="true" applyFill="true" applyAlignment="true">
      <alignment horizontal="center" vertical="center"/>
    </xf>
    <xf numFmtId="177" fontId="0" fillId="0" borderId="0" xfId="0" applyNumberFormat="true">
      <alignment vertical="center"/>
    </xf>
    <xf numFmtId="177" fontId="6" fillId="0" borderId="0" xfId="0" applyNumberFormat="true" applyFont="true">
      <alignment vertical="center"/>
    </xf>
    <xf numFmtId="178" fontId="1" fillId="2" borderId="0" xfId="0" applyNumberFormat="true" applyFont="true" applyFill="true" applyAlignment="true">
      <alignment horizontal="center" vertical="center"/>
    </xf>
    <xf numFmtId="178" fontId="0" fillId="0" borderId="0" xfId="0" applyNumberFormat="true">
      <alignment vertical="center"/>
    </xf>
    <xf numFmtId="179" fontId="4" fillId="2" borderId="0" xfId="0" applyNumberFormat="true" applyFont="true" applyFill="true" applyAlignment="true">
      <alignment horizontal="center" vertical="center"/>
    </xf>
    <xf numFmtId="179" fontId="0" fillId="0" borderId="0" xfId="0" applyNumberFormat="true">
      <alignment vertical="center"/>
    </xf>
    <xf numFmtId="0" fontId="5" fillId="0" borderId="0" xfId="0" applyFont="true" applyAlignment="true">
      <alignment horizontal="center" vertical="center"/>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持仓比例"/>
  <dimension ref="A1:M12"/>
  <sheetViews>
    <sheetView tabSelected="true" workbookViewId="0">
      <selection activeCell="I7" sqref="I7"/>
    </sheetView>
  </sheetViews>
  <sheetFormatPr defaultColWidth="13.64453125" defaultRowHeight="18" customHeight="true"/>
  <cols>
    <col bestFit="true" customWidth="true" max="1" min="1" width="8.8203125"/>
    <col bestFit="true" customWidth="true" max="2" min="2" width="9.05859375"/>
    <col bestFit="true" customWidth="true" max="3" min="3" style="6" width="6.5859375"/>
    <col bestFit="true" customWidth="true" max="4" min="4" style="14" width="7.46875"/>
    <col bestFit="true" customWidth="true" max="6" min="5" width="10.1171875"/>
    <col bestFit="true" customWidth="true" max="7" min="7" style="11" width="18.3515625"/>
    <col customWidth="true" max="8" min="8" style="11" width="11.64453125"/>
    <col bestFit="true" customWidth="true" max="13" min="9" style="16" width="7.05859375"/>
  </cols>
  <sheetData>
    <row r="1" spans="1:13" ht="18" customHeight="true">
      <c r="A1" s="4" t="s">
        <v>6</v>
      </c>
      <c r="B1" s="1" t="s">
        <v>0</v>
      </c>
      <c r="C1" s="5" t="s">
        <v>3</v>
      </c>
      <c r="D1" s="13" t="s">
        <v>1</v>
      </c>
      <c r="E1" s="4" t="s">
        <v>4</v>
      </c>
      <c r="F1" s="7" t="s">
        <v>5</v>
      </c>
      <c r="G1" s="10" t="s">
        <v>15</v>
      </c>
      <c r="H1" s="10" t="s">
        <v>16</v>
      </c>
      <c r="I1" s="15" t="s">
        <v>17</v>
      </c>
      <c r="J1" s="15" t="s">
        <v>18</v>
      </c>
      <c r="K1" s="15" t="s">
        <v>19</v>
      </c>
      <c r="L1" s="15" t="s">
        <v>20</v>
      </c>
      <c r="M1" s="15" t="s">
        <v>21</v>
      </c>
    </row>
    <row r="2" spans="1:13" ht="18" customHeight="true">
      <c r="A2" s="17" t="s">
        <v>34</v>
      </c>
      <c r="B2" t="s">
        <v>7</v>
      </c>
      <c r="C2" s="6" t="s">
        <v>11</v>
      </c>
      <c r="D2" s="14" t="s">
        <v>435</v>
      </c>
      <c r="E2">
        <v>122.3</v>
      </c>
      <c r="F2" s="2">
        <f t="shared" ref="F2:F3" si="0">D2*E2</f>
      </c>
      <c r="G2" s="11">
        <f>SUM(I2:L2)</f>
      </c>
      <c r="H2" s="12">
        <f>F2/G2</f>
      </c>
      <c r="I2" s="16">
        <v>407.7</v>
      </c>
      <c r="J2" s="16">
        <v>397</v>
      </c>
      <c r="K2" s="16">
        <v>359.3</v>
      </c>
      <c r="L2" s="16">
        <v>312.3</v>
      </c>
      <c r="M2" s="16">
        <v>312.5</v>
      </c>
    </row>
    <row r="3" spans="1:13" ht="18" customHeight="true">
      <c r="A3" s="17"/>
      <c r="B3" t="s">
        <v>8</v>
      </c>
      <c r="C3" s="6" t="s">
        <v>12</v>
      </c>
      <c r="D3" s="14" t="s">
        <v>436</v>
      </c>
      <c r="E3">
        <v>74.28</v>
      </c>
      <c r="F3" s="2">
        <f t="shared" si="0"/>
      </c>
      <c r="G3" s="11">
        <f>SUM(I3:L3)</f>
      </c>
      <c r="H3" s="12">
        <f t="shared" ref="H3:H10" si="1">F3/G3</f>
      </c>
      <c r="I3" s="16">
        <v>406</v>
      </c>
      <c r="J3" s="16">
        <v>384</v>
      </c>
      <c r="K3" s="16">
        <v>382.8</v>
      </c>
      <c r="L3" s="16">
        <v>379.6</v>
      </c>
      <c r="M3" s="16">
        <v>318</v>
      </c>
    </row>
    <row r="4" spans="1:13" ht="18" customHeight="true">
      <c r="A4" s="17"/>
      <c r="B4" t="s">
        <v>9</v>
      </c>
      <c r="C4" s="6" t="s">
        <v>13</v>
      </c>
      <c r="D4" s="14" t="s">
        <v>437</v>
      </c>
      <c r="E4">
        <v>107.57</v>
      </c>
      <c r="F4" s="2">
        <f t="shared" ref="F4:F9" si="2">D4*E4</f>
      </c>
      <c r="G4" s="11">
        <f>SUM(I4:L4)</f>
      </c>
      <c r="H4" s="12">
        <f t="shared" si="1"/>
      </c>
      <c r="I4" s="16">
        <v>274.60000000000002</v>
      </c>
      <c r="J4" s="16">
        <v>239</v>
      </c>
      <c r="K4" s="16">
        <v>250</v>
      </c>
      <c r="L4" s="16">
        <v>174</v>
      </c>
      <c r="M4" s="16">
        <v>192</v>
      </c>
    </row>
    <row r="5" spans="1:13" ht="18" customHeight="true">
      <c r="A5" s="17"/>
      <c r="B5" t="s">
        <v>14</v>
      </c>
      <c r="C5" s="6" t="s">
        <v>10</v>
      </c>
      <c r="D5" s="14" t="s">
        <v>438</v>
      </c>
      <c r="E5">
        <v>25.38</v>
      </c>
      <c r="F5" s="2">
        <f t="shared" si="2"/>
      </c>
      <c r="G5" s="11">
        <f>SUM(I5:L5)</f>
      </c>
      <c r="H5" s="12">
        <f t="shared" si="1"/>
      </c>
      <c r="I5" s="16">
        <v>187.8</v>
      </c>
      <c r="J5" s="16">
        <v>228.7</v>
      </c>
      <c r="K5" s="16">
        <v>247.5</v>
      </c>
      <c r="L5" s="16">
        <v>205.4</v>
      </c>
      <c r="M5" s="16">
        <v>204.4</v>
      </c>
    </row>
    <row r="6" spans="1:13" ht="18" customHeight="true">
      <c r="A6" s="17" t="s">
        <v>35</v>
      </c>
      <c r="B6" t="s">
        <v>28</v>
      </c>
      <c r="C6" s="6" t="s">
        <v>29</v>
      </c>
      <c r="D6" s="14" t="s">
        <v>445</v>
      </c>
      <c r="E6">
        <v>90.93</v>
      </c>
      <c r="F6" s="2">
        <f t="shared" si="2"/>
      </c>
      <c r="G6" s="11">
        <f>SUM(I6:L6)</f>
      </c>
      <c r="H6" s="12">
        <f t="shared" si="1"/>
      </c>
      <c r="I6" s="16">
        <v>684.15</v>
      </c>
      <c r="J6" s="16">
        <v>679.05</v>
      </c>
      <c r="K6" s="16">
        <v>647</v>
      </c>
      <c r="L6" s="16">
        <v>705.51</v>
      </c>
      <c r="M6" s="16">
        <v>630.52</v>
      </c>
    </row>
    <row r="7" spans="1:13" ht="18" customHeight="true">
      <c r="A7" s="17"/>
      <c r="B7" t="s">
        <v>31</v>
      </c>
      <c r="C7" s="6" t="s">
        <v>30</v>
      </c>
      <c r="D7" s="14" t="s">
        <v>446</v>
      </c>
      <c r="E7">
        <v>191.77</v>
      </c>
      <c r="F7" s="2">
        <f t="shared" si="2"/>
      </c>
      <c r="G7" s="11">
        <f>SUM(I7:L7)</f>
      </c>
      <c r="H7" s="12">
        <f t="shared" si="1"/>
      </c>
      <c r="I7" s="16">
        <v>207.15</v>
      </c>
      <c r="J7" s="16">
        <v>0.86</v>
      </c>
      <c r="K7" s="16">
        <v>167.1</v>
      </c>
      <c r="L7" s="16">
        <v>103.52</v>
      </c>
      <c r="M7" s="16">
        <v>335.1</v>
      </c>
    </row>
    <row r="8" spans="1:13" ht="18" customHeight="true">
      <c r="A8" s="17"/>
      <c r="B8" t="s">
        <v>32</v>
      </c>
      <c r="C8" s="6" t="s">
        <v>33</v>
      </c>
      <c r="D8" s="14" t="s">
        <v>441</v>
      </c>
      <c r="E8">
        <v>14.23</v>
      </c>
      <c r="F8" s="2">
        <f t="shared" si="2"/>
      </c>
      <c r="G8" s="11">
        <f t="shared" ref="G7:G8" si="3">SUM(J8:M8)</f>
      </c>
      <c r="H8" s="12">
        <f t="shared" si="1"/>
      </c>
      <c r="J8" s="16">
        <v>20</v>
      </c>
      <c r="K8" s="16">
        <v>37.6</v>
      </c>
      <c r="L8" s="16">
        <v>44.08</v>
      </c>
      <c r="M8" s="16">
        <v>45.66</v>
      </c>
    </row>
    <row r="9" spans="1:13" ht="18" customHeight="true">
      <c r="A9" s="9" t="s">
        <v>22</v>
      </c>
      <c r="B9" t="s">
        <v>23</v>
      </c>
      <c r="C9" s="6" t="s">
        <v>24</v>
      </c>
      <c r="D9" s="14" t="s">
        <v>442</v>
      </c>
      <c r="E9">
        <v>50.26</v>
      </c>
      <c r="F9" s="2">
        <f t="shared" si="2"/>
      </c>
      <c r="G9" s="11">
        <f>SUM(I9:L9)</f>
      </c>
      <c r="H9" s="12">
        <f t="shared" si="1"/>
      </c>
      <c r="I9" s="16">
        <v>27.7</v>
      </c>
      <c r="J9" s="16">
        <v>16.7</v>
      </c>
      <c r="K9" s="16">
        <v>12.1</v>
      </c>
      <c r="L9" s="16">
        <v>15.3</v>
      </c>
      <c r="M9" s="16">
        <v>-3</v>
      </c>
    </row>
    <row r="10" spans="1:13" ht="18" customHeight="true">
      <c r="A10" s="9" t="s">
        <v>25</v>
      </c>
      <c r="B10" t="s">
        <v>26</v>
      </c>
      <c r="C10" s="6" t="s">
        <v>27</v>
      </c>
      <c r="D10" s="14" t="s">
        <v>443</v>
      </c>
      <c r="E10">
        <v>39.5</v>
      </c>
      <c r="F10" s="2">
        <f t="shared" ref="F10" si="4">D10*E10</f>
      </c>
      <c r="G10" s="11">
        <f>SUM(I10:L10)</f>
      </c>
      <c r="H10" s="12">
        <f t="shared" si="1"/>
      </c>
      <c r="I10" s="16">
        <v>3.98</v>
      </c>
      <c r="J10" s="16">
        <v>9</v>
      </c>
      <c r="K10" s="16">
        <v>14.09</v>
      </c>
      <c r="L10" s="16">
        <v>16.239999999999998</v>
      </c>
      <c r="M10" s="16">
        <v>16.8</v>
      </c>
    </row>
    <row r="11" spans="1:13" ht="18" customHeight="true">
      <c r="F11" s="2"/>
    </row>
    <row r="12" spans="1:13" ht="12.6">
      <c r="A12" s="8" t="s">
        <v>2</v>
      </c>
      <c r="B12" t="s">
        <v>444</v>
      </c>
      <c r="F12" s="3"/>
    </row>
  </sheetData>
  <mergeCells count="2">
    <mergeCell ref="A2:A5"/>
    <mergeCell ref="A6:A8"/>
  </mergeCells>
  <phoneticPr fontId="3" type="noConversion"/>
  <pageMargins left="0.7" right="0.7" top="0.75" bottom="0.75" header="0.3" footer="0.3"/>
  <pageSetup r:id="rId1" orientation="portrait" paperSize="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股票扣非ttm估值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2026-05-20T23:25:25Z</dcterms:created>
  <dcterms:modified xsi:type="dcterms:W3CDTF">2026-08-20T15:10:49Z</dcterms:modified>
</cp:coreProperties>
</file>